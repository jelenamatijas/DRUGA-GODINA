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7250" windowHeight="5925"/>
  </bookViews>
  <sheets>
    <sheet name="Studenti na predmetu" sheetId="1" r:id="rId1"/>
  </sheets>
  <calcPr calcId="145621"/>
</workbook>
</file>

<file path=xl/calcChain.xml><?xml version="1.0" encoding="utf-8"?>
<calcChain xmlns="http://schemas.openxmlformats.org/spreadsheetml/2006/main">
  <c r="J7" i="1" l="1"/>
  <c r="J17" i="1"/>
  <c r="J9" i="1"/>
  <c r="J10" i="1"/>
  <c r="J12" i="1"/>
  <c r="J43" i="1"/>
  <c r="J11" i="1"/>
  <c r="J13" i="1"/>
  <c r="J21" i="1"/>
  <c r="J28" i="1"/>
  <c r="J18" i="1"/>
  <c r="J15" i="1"/>
  <c r="J14" i="1"/>
  <c r="J20" i="1"/>
  <c r="J37" i="1"/>
  <c r="J26" i="1"/>
  <c r="J58" i="1"/>
  <c r="J22" i="1"/>
  <c r="J60" i="1"/>
  <c r="J16" i="1"/>
  <c r="J39" i="1"/>
  <c r="J23" i="1"/>
  <c r="J80" i="1"/>
  <c r="J34" i="1"/>
  <c r="J19" i="1"/>
  <c r="J49" i="1"/>
  <c r="J31" i="1"/>
  <c r="J24" i="1"/>
  <c r="J61" i="1"/>
  <c r="J38" i="1"/>
  <c r="J25" i="1"/>
  <c r="J29" i="1"/>
  <c r="J32" i="1"/>
  <c r="J27" i="1"/>
  <c r="J33" i="1"/>
  <c r="J55" i="1"/>
  <c r="J95" i="1"/>
  <c r="J69" i="1"/>
  <c r="J83" i="1"/>
  <c r="J88" i="1"/>
  <c r="J73" i="1"/>
  <c r="J48" i="1"/>
  <c r="J30" i="1"/>
  <c r="J81" i="1"/>
  <c r="J65" i="1"/>
  <c r="J70" i="1"/>
  <c r="J35" i="1"/>
  <c r="J36" i="1"/>
  <c r="J77" i="1"/>
  <c r="J90" i="1"/>
  <c r="J85" i="1"/>
  <c r="J67" i="1"/>
  <c r="J84" i="1"/>
  <c r="J92" i="1"/>
  <c r="J44" i="1"/>
  <c r="J40" i="1"/>
  <c r="J51" i="1"/>
  <c r="J53" i="1"/>
  <c r="J74" i="1"/>
  <c r="J42" i="1"/>
  <c r="J56" i="1"/>
  <c r="J47" i="1"/>
  <c r="J41" i="1"/>
  <c r="J45" i="1"/>
  <c r="J64" i="1"/>
  <c r="J86" i="1"/>
  <c r="J78" i="1"/>
  <c r="J99" i="1"/>
  <c r="J82" i="1"/>
  <c r="J63" i="1"/>
  <c r="J91" i="1"/>
  <c r="J102" i="1"/>
  <c r="J100" i="1"/>
  <c r="J46" i="1"/>
  <c r="J96" i="1"/>
  <c r="J87" i="1"/>
  <c r="J94" i="1"/>
  <c r="J89" i="1"/>
  <c r="J72" i="1"/>
  <c r="J54" i="1"/>
  <c r="J93" i="1"/>
  <c r="J50" i="1"/>
  <c r="J52" i="1"/>
  <c r="J66" i="1"/>
  <c r="J62" i="1"/>
  <c r="J105" i="1"/>
  <c r="J75" i="1"/>
  <c r="J57" i="1"/>
  <c r="J59" i="1"/>
  <c r="J68" i="1"/>
  <c r="J79" i="1"/>
  <c r="J71" i="1"/>
  <c r="J98" i="1"/>
  <c r="J97" i="1"/>
  <c r="J103" i="1"/>
  <c r="J108" i="1"/>
  <c r="J106" i="1"/>
  <c r="J101" i="1"/>
  <c r="J104" i="1"/>
  <c r="J107" i="1"/>
  <c r="J110" i="1"/>
  <c r="J76" i="1"/>
  <c r="J115" i="1"/>
  <c r="J114" i="1"/>
  <c r="J109" i="1"/>
  <c r="J120" i="1"/>
  <c r="J129" i="1"/>
  <c r="J117" i="1"/>
  <c r="J123" i="1"/>
  <c r="J124" i="1"/>
  <c r="J119" i="1"/>
  <c r="J130" i="1"/>
  <c r="J128" i="1"/>
  <c r="J126" i="1"/>
  <c r="J113" i="1"/>
  <c r="J127" i="1"/>
  <c r="J122" i="1"/>
  <c r="J111" i="1"/>
  <c r="J118" i="1"/>
  <c r="J125" i="1"/>
  <c r="J112" i="1"/>
  <c r="J121" i="1"/>
  <c r="J116" i="1"/>
  <c r="J8" i="1"/>
  <c r="L79" i="1" l="1"/>
  <c r="L28" i="1"/>
  <c r="L125" i="1"/>
  <c r="L130" i="1"/>
  <c r="L108" i="1"/>
  <c r="L102" i="1"/>
  <c r="L52" i="1"/>
  <c r="L126" i="1"/>
  <c r="L86" i="1"/>
  <c r="L73" i="1"/>
  <c r="L115" i="1"/>
  <c r="L91" i="1"/>
  <c r="L80" i="1"/>
  <c r="L104" i="1"/>
  <c r="L9" i="1"/>
  <c r="L49" i="1"/>
  <c r="L97" i="1"/>
  <c r="L47" i="1"/>
  <c r="L20" i="1"/>
  <c r="L122" i="1"/>
  <c r="L94" i="1"/>
  <c r="L14" i="1"/>
  <c r="L71" i="1"/>
  <c r="L87" i="1"/>
  <c r="G30" i="1"/>
  <c r="L30" i="1" s="1"/>
  <c r="G95" i="1"/>
  <c r="L95" i="1" s="1"/>
  <c r="G59" i="1"/>
  <c r="L59" i="1" s="1"/>
  <c r="G105" i="1"/>
  <c r="L105" i="1" s="1"/>
  <c r="G115" i="1"/>
  <c r="G93" i="1"/>
  <c r="L93" i="1" s="1"/>
  <c r="G114" i="1"/>
  <c r="L114" i="1" s="1"/>
  <c r="G109" i="1"/>
  <c r="L109" i="1" s="1"/>
  <c r="G65" i="1"/>
  <c r="L65" i="1" s="1"/>
  <c r="G120" i="1"/>
  <c r="L120" i="1" s="1"/>
  <c r="G129" i="1"/>
  <c r="L129" i="1" s="1"/>
  <c r="G64" i="1"/>
  <c r="L64" i="1" s="1"/>
  <c r="G29" i="1"/>
  <c r="L29" i="1" s="1"/>
  <c r="G51" i="1"/>
  <c r="L51" i="1" s="1"/>
  <c r="G28" i="1"/>
  <c r="G75" i="1"/>
  <c r="L75" i="1" s="1"/>
  <c r="G53" i="1"/>
  <c r="L53" i="1" s="1"/>
  <c r="G107" i="1"/>
  <c r="L107" i="1" s="1"/>
  <c r="G106" i="1"/>
  <c r="L106" i="1" s="1"/>
  <c r="G52" i="1"/>
  <c r="G91" i="1"/>
  <c r="G33" i="1"/>
  <c r="L33" i="1" s="1"/>
  <c r="G108" i="1"/>
  <c r="G117" i="1"/>
  <c r="L117" i="1" s="1"/>
  <c r="G15" i="1"/>
  <c r="L15" i="1" s="1"/>
  <c r="G50" i="1"/>
  <c r="L50" i="1" s="1"/>
  <c r="G46" i="1"/>
  <c r="L46" i="1" s="1"/>
  <c r="G78" i="1"/>
  <c r="L78" i="1" s="1"/>
  <c r="G79" i="1"/>
  <c r="G123" i="1"/>
  <c r="L123" i="1" s="1"/>
  <c r="G13" i="1"/>
  <c r="L13" i="1" s="1"/>
  <c r="G84" i="1"/>
  <c r="L84" i="1" s="1"/>
  <c r="G124" i="1"/>
  <c r="L124" i="1" s="1"/>
  <c r="G57" i="1"/>
  <c r="L57" i="1" s="1"/>
  <c r="G70" i="1"/>
  <c r="L70" i="1" s="1"/>
  <c r="G81" i="1"/>
  <c r="L81" i="1" s="1"/>
  <c r="G21" i="1"/>
  <c r="L21" i="1" s="1"/>
  <c r="G9" i="1"/>
  <c r="G48" i="1"/>
  <c r="L48" i="1" s="1"/>
  <c r="G66" i="1"/>
  <c r="L66" i="1" s="1"/>
  <c r="G19" i="1"/>
  <c r="L19" i="1" s="1"/>
  <c r="G101" i="1"/>
  <c r="L101" i="1" s="1"/>
  <c r="G119" i="1"/>
  <c r="L119" i="1" s="1"/>
  <c r="G73" i="1"/>
  <c r="G35" i="1"/>
  <c r="L35" i="1" s="1"/>
  <c r="G130" i="1"/>
  <c r="G14" i="1"/>
  <c r="G11" i="1"/>
  <c r="L11" i="1" s="1"/>
  <c r="G39" i="1"/>
  <c r="L39" i="1" s="1"/>
  <c r="G60" i="1"/>
  <c r="L60" i="1" s="1"/>
  <c r="G103" i="1"/>
  <c r="L103" i="1" s="1"/>
  <c r="G71" i="1"/>
  <c r="G49" i="1"/>
  <c r="G7" i="1"/>
  <c r="L7" i="1" s="1"/>
  <c r="G26" i="1"/>
  <c r="L26" i="1" s="1"/>
  <c r="G8" i="1"/>
  <c r="L8" i="1" s="1"/>
  <c r="G41" i="1"/>
  <c r="L41" i="1" s="1"/>
  <c r="G22" i="1"/>
  <c r="L22" i="1" s="1"/>
  <c r="G34" i="1"/>
  <c r="L34" i="1" s="1"/>
  <c r="G23" i="1"/>
  <c r="L23" i="1" s="1"/>
  <c r="G128" i="1"/>
  <c r="L128" i="1" s="1"/>
  <c r="G31" i="1"/>
  <c r="L31" i="1" s="1"/>
  <c r="G126" i="1"/>
  <c r="G69" i="1"/>
  <c r="L69" i="1" s="1"/>
  <c r="G113" i="1"/>
  <c r="L113" i="1" s="1"/>
  <c r="G61" i="1"/>
  <c r="L61" i="1" s="1"/>
  <c r="G83" i="1"/>
  <c r="L83" i="1" s="1"/>
  <c r="G24" i="1"/>
  <c r="L24" i="1" s="1"/>
  <c r="G20" i="1"/>
  <c r="G80" i="1"/>
  <c r="G127" i="1"/>
  <c r="L127" i="1" s="1"/>
  <c r="G85" i="1"/>
  <c r="L85" i="1" s="1"/>
  <c r="G10" i="1"/>
  <c r="L10" i="1" s="1"/>
  <c r="G94" i="1"/>
  <c r="G38" i="1"/>
  <c r="L38" i="1" s="1"/>
  <c r="G25" i="1"/>
  <c r="L25" i="1" s="1"/>
  <c r="G122" i="1"/>
  <c r="G92" i="1"/>
  <c r="L92" i="1" s="1"/>
  <c r="G99" i="1"/>
  <c r="L99" i="1" s="1"/>
  <c r="G12" i="1"/>
  <c r="L12" i="1" s="1"/>
  <c r="G111" i="1"/>
  <c r="L111" i="1" s="1"/>
  <c r="G86" i="1"/>
  <c r="G63" i="1"/>
  <c r="L63" i="1" s="1"/>
  <c r="G118" i="1"/>
  <c r="L118" i="1" s="1"/>
  <c r="G125" i="1"/>
  <c r="G110" i="1"/>
  <c r="L110" i="1" s="1"/>
  <c r="G58" i="1"/>
  <c r="L58" i="1" s="1"/>
  <c r="G67" i="1"/>
  <c r="L67" i="1" s="1"/>
  <c r="G43" i="1"/>
  <c r="L43" i="1" s="1"/>
  <c r="G17" i="1"/>
  <c r="L17" i="1" s="1"/>
  <c r="G36" i="1"/>
  <c r="L36" i="1" s="1"/>
  <c r="G112" i="1"/>
  <c r="L112" i="1" s="1"/>
  <c r="G32" i="1"/>
  <c r="L32" i="1" s="1"/>
  <c r="G100" i="1"/>
  <c r="L100" i="1" s="1"/>
  <c r="G102" i="1"/>
  <c r="G54" i="1"/>
  <c r="L54" i="1" s="1"/>
  <c r="G44" i="1"/>
  <c r="L44" i="1" s="1"/>
  <c r="G47" i="1"/>
  <c r="G98" i="1"/>
  <c r="L98" i="1" s="1"/>
  <c r="G42" i="1"/>
  <c r="L42" i="1" s="1"/>
  <c r="G104" i="1"/>
  <c r="G77" i="1"/>
  <c r="L77" i="1" s="1"/>
  <c r="G45" i="1"/>
  <c r="L45" i="1" s="1"/>
  <c r="G90" i="1"/>
  <c r="L90" i="1" s="1"/>
  <c r="G88" i="1"/>
  <c r="L88" i="1" s="1"/>
  <c r="G62" i="1"/>
  <c r="L62" i="1" s="1"/>
  <c r="G82" i="1"/>
  <c r="L82" i="1" s="1"/>
  <c r="G55" i="1"/>
  <c r="L55" i="1" s="1"/>
  <c r="G87" i="1"/>
  <c r="G37" i="1"/>
  <c r="L37" i="1" s="1"/>
  <c r="G76" i="1"/>
  <c r="L76" i="1" s="1"/>
  <c r="G74" i="1"/>
  <c r="L74" i="1" s="1"/>
  <c r="G40" i="1"/>
  <c r="L40" i="1" s="1"/>
  <c r="G97" i="1"/>
  <c r="G27" i="1"/>
  <c r="L27" i="1" s="1"/>
  <c r="G72" i="1"/>
  <c r="L72" i="1" s="1"/>
  <c r="G18" i="1"/>
  <c r="L18" i="1" s="1"/>
  <c r="G56" i="1"/>
  <c r="L56" i="1" s="1"/>
  <c r="G68" i="1"/>
  <c r="L68" i="1" s="1"/>
  <c r="G96" i="1"/>
  <c r="L96" i="1" s="1"/>
  <c r="G16" i="1"/>
  <c r="L16" i="1" s="1"/>
  <c r="G121" i="1"/>
  <c r="L121" i="1" s="1"/>
  <c r="G116" i="1"/>
  <c r="L116" i="1" s="1"/>
  <c r="G89" i="1"/>
  <c r="L89" i="1" s="1"/>
</calcChain>
</file>

<file path=xl/sharedStrings.xml><?xml version="1.0" encoding="utf-8"?>
<sst xmlns="http://schemas.openxmlformats.org/spreadsheetml/2006/main" count="516" uniqueCount="393">
  <si>
    <t/>
  </si>
  <si>
    <t>Predmet:</t>
  </si>
  <si>
    <t>Strukture podataka i algoritmi - 2238</t>
  </si>
  <si>
    <t>Školska godina:</t>
  </si>
  <si>
    <t>17/18</t>
  </si>
  <si>
    <t>Br. ind.</t>
  </si>
  <si>
    <t>Prezime</t>
  </si>
  <si>
    <t>Ime roditelja</t>
  </si>
  <si>
    <t>Ime</t>
  </si>
  <si>
    <t>01120/14</t>
  </si>
  <si>
    <t>Tošić</t>
  </si>
  <si>
    <t>Dragan</t>
  </si>
  <si>
    <t>Nebojša</t>
  </si>
  <si>
    <t>01150/14</t>
  </si>
  <si>
    <t>Ritan</t>
  </si>
  <si>
    <t>Milenko</t>
  </si>
  <si>
    <t>Aleksandar</t>
  </si>
  <si>
    <t>01158/14</t>
  </si>
  <si>
    <t>Lukić</t>
  </si>
  <si>
    <t>Rado</t>
  </si>
  <si>
    <t>Radenko</t>
  </si>
  <si>
    <t>01175/14</t>
  </si>
  <si>
    <t>Ćulibrk</t>
  </si>
  <si>
    <t>Branislav</t>
  </si>
  <si>
    <t>Dejana</t>
  </si>
  <si>
    <t>01186/14</t>
  </si>
  <si>
    <t>Cunjak</t>
  </si>
  <si>
    <t>Živko</t>
  </si>
  <si>
    <t>01189/14</t>
  </si>
  <si>
    <t>Nikolić</t>
  </si>
  <si>
    <t>Miroslav</t>
  </si>
  <si>
    <t>Biljana</t>
  </si>
  <si>
    <t>01326/14</t>
  </si>
  <si>
    <t>Ković</t>
  </si>
  <si>
    <t>Dragoljub</t>
  </si>
  <si>
    <t>Danilo</t>
  </si>
  <si>
    <t>11109/14</t>
  </si>
  <si>
    <t>Marčeta</t>
  </si>
  <si>
    <t>Miladinka</t>
  </si>
  <si>
    <t>Sanja</t>
  </si>
  <si>
    <t>11110/14</t>
  </si>
  <si>
    <t>Davidović</t>
  </si>
  <si>
    <t>Rade</t>
  </si>
  <si>
    <t>Danijel</t>
  </si>
  <si>
    <t>11119/14</t>
  </si>
  <si>
    <t>Škavić</t>
  </si>
  <si>
    <t>Kristina</t>
  </si>
  <si>
    <t>Ljiljana</t>
  </si>
  <si>
    <t>11131/14</t>
  </si>
  <si>
    <t>Kaurin</t>
  </si>
  <si>
    <t>Snježana</t>
  </si>
  <si>
    <t>Jelena</t>
  </si>
  <si>
    <t>11151/14</t>
  </si>
  <si>
    <t>Topić</t>
  </si>
  <si>
    <t>Bogdan</t>
  </si>
  <si>
    <t>Đorđe</t>
  </si>
  <si>
    <t>11191/14</t>
  </si>
  <si>
    <t>Stojaković</t>
  </si>
  <si>
    <t>Radovan</t>
  </si>
  <si>
    <t>Filip</t>
  </si>
  <si>
    <t>01114/15</t>
  </si>
  <si>
    <t>Đukić</t>
  </si>
  <si>
    <t>Neđeljko</t>
  </si>
  <si>
    <t>Nevena</t>
  </si>
  <si>
    <t>01118/15</t>
  </si>
  <si>
    <t>Bojanić</t>
  </si>
  <si>
    <t>Mile</t>
  </si>
  <si>
    <t>Sonja</t>
  </si>
  <si>
    <t>01120/15</t>
  </si>
  <si>
    <t>Babić</t>
  </si>
  <si>
    <t>Darko</t>
  </si>
  <si>
    <t>Nikola</t>
  </si>
  <si>
    <t>01134/15</t>
  </si>
  <si>
    <t>Blažić</t>
  </si>
  <si>
    <t>Drago</t>
  </si>
  <si>
    <t>Dušan</t>
  </si>
  <si>
    <t>01139/15</t>
  </si>
  <si>
    <t>Topalović</t>
  </si>
  <si>
    <t>Milan</t>
  </si>
  <si>
    <t>Goran</t>
  </si>
  <si>
    <t>01142/15</t>
  </si>
  <si>
    <t>Trivunčević</t>
  </si>
  <si>
    <t>Duško</t>
  </si>
  <si>
    <t>Nataša</t>
  </si>
  <si>
    <t>01144/15</t>
  </si>
  <si>
    <t>Maksimović</t>
  </si>
  <si>
    <t>Nikolina</t>
  </si>
  <si>
    <t>01146/15</t>
  </si>
  <si>
    <t>Petrović</t>
  </si>
  <si>
    <t>Slavko</t>
  </si>
  <si>
    <t>Danijela</t>
  </si>
  <si>
    <t>01148/15</t>
  </si>
  <si>
    <t>Marmat</t>
  </si>
  <si>
    <t>Ivona</t>
  </si>
  <si>
    <t>01151/15</t>
  </si>
  <si>
    <t>Jovanović</t>
  </si>
  <si>
    <t>Zoran</t>
  </si>
  <si>
    <t>01154/15</t>
  </si>
  <si>
    <t>Vasić</t>
  </si>
  <si>
    <t>Vitko</t>
  </si>
  <si>
    <t>Srđan</t>
  </si>
  <si>
    <t>01177/15</t>
  </si>
  <si>
    <t>Gojković</t>
  </si>
  <si>
    <t>Mladenko</t>
  </si>
  <si>
    <t>Vladimir</t>
  </si>
  <si>
    <t>01178/15</t>
  </si>
  <si>
    <t>Marić</t>
  </si>
  <si>
    <t>Nedeljko</t>
  </si>
  <si>
    <t>01187/15</t>
  </si>
  <si>
    <t>Antešević</t>
  </si>
  <si>
    <t>Ilija</t>
  </si>
  <si>
    <t>Katarina</t>
  </si>
  <si>
    <t>01188/15</t>
  </si>
  <si>
    <t>Glamočić</t>
  </si>
  <si>
    <t>Stefan</t>
  </si>
  <si>
    <t>01189/15</t>
  </si>
  <si>
    <t>Škorić</t>
  </si>
  <si>
    <t>Mirko</t>
  </si>
  <si>
    <t>Marko</t>
  </si>
  <si>
    <t>01194/15</t>
  </si>
  <si>
    <t>Nemanja</t>
  </si>
  <si>
    <t>11101/15</t>
  </si>
  <si>
    <t>Pejašinović</t>
  </si>
  <si>
    <t>Gojko</t>
  </si>
  <si>
    <t>Saša</t>
  </si>
  <si>
    <t>11108/15</t>
  </si>
  <si>
    <t>Petrušić</t>
  </si>
  <si>
    <t>Bojan</t>
  </si>
  <si>
    <t>11113/15</t>
  </si>
  <si>
    <t>Bejatović</t>
  </si>
  <si>
    <t>Predrag</t>
  </si>
  <si>
    <t>11118/15</t>
  </si>
  <si>
    <t>Pekez</t>
  </si>
  <si>
    <t>Dejan</t>
  </si>
  <si>
    <t>11124/15</t>
  </si>
  <si>
    <t>Savić</t>
  </si>
  <si>
    <t>Željko</t>
  </si>
  <si>
    <t>Jovo</t>
  </si>
  <si>
    <t>11148/15</t>
  </si>
  <si>
    <t>Ibranović</t>
  </si>
  <si>
    <t>Hikmet</t>
  </si>
  <si>
    <t>Tarik</t>
  </si>
  <si>
    <t>01101/16</t>
  </si>
  <si>
    <t>Jelić</t>
  </si>
  <si>
    <t>Slobodan</t>
  </si>
  <si>
    <t>01102/16</t>
  </si>
  <si>
    <t>Baralić</t>
  </si>
  <si>
    <t>David</t>
  </si>
  <si>
    <t>01103/16</t>
  </si>
  <si>
    <t>Prerad</t>
  </si>
  <si>
    <t>Marinko</t>
  </si>
  <si>
    <t>Damjan</t>
  </si>
  <si>
    <t>01104/16</t>
  </si>
  <si>
    <t>Smiljanić</t>
  </si>
  <si>
    <t>Slaven</t>
  </si>
  <si>
    <t>01105/16</t>
  </si>
  <si>
    <t>Pavlović</t>
  </si>
  <si>
    <t>Stojadin</t>
  </si>
  <si>
    <t>Ivana</t>
  </si>
  <si>
    <t>01106/16</t>
  </si>
  <si>
    <t>Sikimić</t>
  </si>
  <si>
    <t>Miloš</t>
  </si>
  <si>
    <t>Draženko</t>
  </si>
  <si>
    <t>01107/16</t>
  </si>
  <si>
    <t>Marković</t>
  </si>
  <si>
    <t>Živan</t>
  </si>
  <si>
    <t>01109/16</t>
  </si>
  <si>
    <t>Jorgić</t>
  </si>
  <si>
    <t>01113/16</t>
  </si>
  <si>
    <t>Moravac</t>
  </si>
  <si>
    <t>Ognjen</t>
  </si>
  <si>
    <t>01116/16</t>
  </si>
  <si>
    <t>01118/16</t>
  </si>
  <si>
    <t>Vučić</t>
  </si>
  <si>
    <t>Boris</t>
  </si>
  <si>
    <t>01121/16</t>
  </si>
  <si>
    <t>Milica</t>
  </si>
  <si>
    <t>01123/16</t>
  </si>
  <si>
    <t>Zeljković</t>
  </si>
  <si>
    <t>Žarko</t>
  </si>
  <si>
    <t>Marijana</t>
  </si>
  <si>
    <t>01124/16</t>
  </si>
  <si>
    <t>Tatjana</t>
  </si>
  <si>
    <t>01125/16</t>
  </si>
  <si>
    <t>Lazić</t>
  </si>
  <si>
    <t>01128/16</t>
  </si>
  <si>
    <t>Antić</t>
  </si>
  <si>
    <t>Stevo</t>
  </si>
  <si>
    <t>01131/16</t>
  </si>
  <si>
    <t>Stakić</t>
  </si>
  <si>
    <t>01133/16</t>
  </si>
  <si>
    <t>Stepanov</t>
  </si>
  <si>
    <t>Kristijan</t>
  </si>
  <si>
    <t>01135/16</t>
  </si>
  <si>
    <t>Medić</t>
  </si>
  <si>
    <t>01138/16</t>
  </si>
  <si>
    <t>Drinić</t>
  </si>
  <si>
    <t>01139/16</t>
  </si>
  <si>
    <t>Šukalo</t>
  </si>
  <si>
    <t>Budimir</t>
  </si>
  <si>
    <t>01140/16</t>
  </si>
  <si>
    <t>Siniša</t>
  </si>
  <si>
    <t>01141/16</t>
  </si>
  <si>
    <t>Gavrić</t>
  </si>
  <si>
    <t>Ranko</t>
  </si>
  <si>
    <t>01143/16</t>
  </si>
  <si>
    <t>Gajić</t>
  </si>
  <si>
    <t>Aleksa</t>
  </si>
  <si>
    <t>Velibor</t>
  </si>
  <si>
    <t>01150/16</t>
  </si>
  <si>
    <t>Milojica</t>
  </si>
  <si>
    <t>01151/16</t>
  </si>
  <si>
    <t>Tešinić</t>
  </si>
  <si>
    <t>01152/16</t>
  </si>
  <si>
    <t>Mahmutović</t>
  </si>
  <si>
    <t>Husein</t>
  </si>
  <si>
    <t>Armin</t>
  </si>
  <si>
    <t>01154/16</t>
  </si>
  <si>
    <t>Simonović</t>
  </si>
  <si>
    <t>Zdenko</t>
  </si>
  <si>
    <t>01157/16</t>
  </si>
  <si>
    <t>Sekulić</t>
  </si>
  <si>
    <t>Ljubiša</t>
  </si>
  <si>
    <t>01158/16</t>
  </si>
  <si>
    <t>Kalaba</t>
  </si>
  <si>
    <t>Jovan</t>
  </si>
  <si>
    <t>Neven</t>
  </si>
  <si>
    <t>01160/16</t>
  </si>
  <si>
    <t>Tripunović</t>
  </si>
  <si>
    <t>Branko</t>
  </si>
  <si>
    <t>Suzana</t>
  </si>
  <si>
    <t>01161/16</t>
  </si>
  <si>
    <t>Novaković</t>
  </si>
  <si>
    <t>Marija</t>
  </si>
  <si>
    <t>01162/16</t>
  </si>
  <si>
    <t>Dragomir</t>
  </si>
  <si>
    <t>01166/16</t>
  </si>
  <si>
    <t>Bajić</t>
  </si>
  <si>
    <t>01173/16</t>
  </si>
  <si>
    <t>Stiković</t>
  </si>
  <si>
    <t>Boban</t>
  </si>
  <si>
    <t>Ivan</t>
  </si>
  <si>
    <t>01174/16</t>
  </si>
  <si>
    <t>Stanivuković</t>
  </si>
  <si>
    <t>Boško</t>
  </si>
  <si>
    <t>Igor</t>
  </si>
  <si>
    <t>01176/16</t>
  </si>
  <si>
    <t>Janjić</t>
  </si>
  <si>
    <t>01177/16</t>
  </si>
  <si>
    <t>Turanjanin</t>
  </si>
  <si>
    <t>01180/16</t>
  </si>
  <si>
    <t>Cvišić</t>
  </si>
  <si>
    <t>Milovan</t>
  </si>
  <si>
    <t>01181/16</t>
  </si>
  <si>
    <t>Temimović</t>
  </si>
  <si>
    <t>Dedo</t>
  </si>
  <si>
    <t>Amir</t>
  </si>
  <si>
    <t>01182/16</t>
  </si>
  <si>
    <t>Tomić</t>
  </si>
  <si>
    <t>01183/16</t>
  </si>
  <si>
    <t>Ožegović</t>
  </si>
  <si>
    <t>01184/16</t>
  </si>
  <si>
    <t>Ignjić</t>
  </si>
  <si>
    <t>Pero</t>
  </si>
  <si>
    <t>01186/16</t>
  </si>
  <si>
    <t>Jokić</t>
  </si>
  <si>
    <t>Eugen</t>
  </si>
  <si>
    <t>Andrej</t>
  </si>
  <si>
    <t>01193/16</t>
  </si>
  <si>
    <t>Krstović</t>
  </si>
  <si>
    <t>01194/16</t>
  </si>
  <si>
    <t>Đuranović</t>
  </si>
  <si>
    <t>11109/16</t>
  </si>
  <si>
    <t>Cvijanović</t>
  </si>
  <si>
    <t>11113/16</t>
  </si>
  <si>
    <t>Suša</t>
  </si>
  <si>
    <t>11114/16</t>
  </si>
  <si>
    <t>Halić</t>
  </si>
  <si>
    <t>Julijan</t>
  </si>
  <si>
    <t>Renato</t>
  </si>
  <si>
    <t>11156/16</t>
  </si>
  <si>
    <t>Petić</t>
  </si>
  <si>
    <t>11160/16</t>
  </si>
  <si>
    <t>Boškan</t>
  </si>
  <si>
    <t>Rajko</t>
  </si>
  <si>
    <t>Duška</t>
  </si>
  <si>
    <t>11107/17</t>
  </si>
  <si>
    <t>Tramošljika</t>
  </si>
  <si>
    <t>11108/17</t>
  </si>
  <si>
    <t>Vrhovac</t>
  </si>
  <si>
    <t>11109/17</t>
  </si>
  <si>
    <t>Ivanišević</t>
  </si>
  <si>
    <t>11110/17</t>
  </si>
  <si>
    <t>Trivundža</t>
  </si>
  <si>
    <t>Neđo</t>
  </si>
  <si>
    <t>11111/17</t>
  </si>
  <si>
    <t>Orozović</t>
  </si>
  <si>
    <t>Anđelina</t>
  </si>
  <si>
    <t>11112/17</t>
  </si>
  <si>
    <t>Vučanović</t>
  </si>
  <si>
    <t>Jelenko</t>
  </si>
  <si>
    <t>11113/17</t>
  </si>
  <si>
    <t>Risto</t>
  </si>
  <si>
    <t>11114/17</t>
  </si>
  <si>
    <t>Šarac</t>
  </si>
  <si>
    <t>Brane</t>
  </si>
  <si>
    <t>11115/17</t>
  </si>
  <si>
    <t>Dubravac</t>
  </si>
  <si>
    <t>11116/17</t>
  </si>
  <si>
    <t>Bosančić</t>
  </si>
  <si>
    <t>11117/17</t>
  </si>
  <si>
    <t>11120/17</t>
  </si>
  <si>
    <t>Kljaić</t>
  </si>
  <si>
    <t>Zdravko</t>
  </si>
  <si>
    <t>11121/17</t>
  </si>
  <si>
    <t>Sretko</t>
  </si>
  <si>
    <t>Jovana</t>
  </si>
  <si>
    <t>11122/17</t>
  </si>
  <si>
    <t>Šušnjar</t>
  </si>
  <si>
    <t>Mito</t>
  </si>
  <si>
    <t>Čedomir</t>
  </si>
  <si>
    <t>11124/17</t>
  </si>
  <si>
    <t>Gadžić</t>
  </si>
  <si>
    <t>11125/17</t>
  </si>
  <si>
    <t>Maja</t>
  </si>
  <si>
    <t>11126/17</t>
  </si>
  <si>
    <t>Panić</t>
  </si>
  <si>
    <t>Dragana</t>
  </si>
  <si>
    <t>11127/17</t>
  </si>
  <si>
    <t>Borković</t>
  </si>
  <si>
    <t>Momir</t>
  </si>
  <si>
    <t>Dajana</t>
  </si>
  <si>
    <t>11128/17</t>
  </si>
  <si>
    <t>11129/17</t>
  </si>
  <si>
    <t>Gostić</t>
  </si>
  <si>
    <t>Veselinka</t>
  </si>
  <si>
    <t>11130/17</t>
  </si>
  <si>
    <t>Todorić</t>
  </si>
  <si>
    <t>Nedo</t>
  </si>
  <si>
    <t>11131/17</t>
  </si>
  <si>
    <t>Petar</t>
  </si>
  <si>
    <t>11132/17</t>
  </si>
  <si>
    <t>Pralica</t>
  </si>
  <si>
    <t>11133/17</t>
  </si>
  <si>
    <t>11134/17</t>
  </si>
  <si>
    <t>Milić</t>
  </si>
  <si>
    <t>Stojan</t>
  </si>
  <si>
    <t>11135/17</t>
  </si>
  <si>
    <t>Drljača</t>
  </si>
  <si>
    <t>Anđela</t>
  </si>
  <si>
    <t>11136/17</t>
  </si>
  <si>
    <t>Ličinar</t>
  </si>
  <si>
    <t>Anđelko</t>
  </si>
  <si>
    <t>11137/17</t>
  </si>
  <si>
    <t>Miodrag</t>
  </si>
  <si>
    <t>Dragica</t>
  </si>
  <si>
    <t>11138/17</t>
  </si>
  <si>
    <t>Šabić</t>
  </si>
  <si>
    <t>Adis</t>
  </si>
  <si>
    <t>Adnan</t>
  </si>
  <si>
    <t>11139/17</t>
  </si>
  <si>
    <t>Petrić</t>
  </si>
  <si>
    <t>Viktor</t>
  </si>
  <si>
    <t>Dario</t>
  </si>
  <si>
    <t>11140/17</t>
  </si>
  <si>
    <t>Cvetnić</t>
  </si>
  <si>
    <t>Josip</t>
  </si>
  <si>
    <t>11142/17</t>
  </si>
  <si>
    <t>Pantoš</t>
  </si>
  <si>
    <t>11144/17</t>
  </si>
  <si>
    <t>Gatarić</t>
  </si>
  <si>
    <t>Vinko</t>
  </si>
  <si>
    <t>Aleksandra</t>
  </si>
  <si>
    <t>11145/17</t>
  </si>
  <si>
    <t>Marinković</t>
  </si>
  <si>
    <t>Borislav</t>
  </si>
  <si>
    <t>11146/17</t>
  </si>
  <si>
    <t>Dobrovoljski</t>
  </si>
  <si>
    <t>Tanja</t>
  </si>
  <si>
    <t>11147/17</t>
  </si>
  <si>
    <t>Nanić</t>
  </si>
  <si>
    <t>Luka</t>
  </si>
  <si>
    <t>11150/17</t>
  </si>
  <si>
    <t>K1 - Z</t>
  </si>
  <si>
    <t>K1 - T</t>
  </si>
  <si>
    <t>K1 - U</t>
  </si>
  <si>
    <t>BODOVI SA KOLOKVIJUMA</t>
  </si>
  <si>
    <t>K2 - Z</t>
  </si>
  <si>
    <t>K2 - T</t>
  </si>
  <si>
    <t>K2 - U</t>
  </si>
  <si>
    <t>L - U</t>
  </si>
  <si>
    <t>Bodovi - ukupno</t>
  </si>
  <si>
    <t>Ocjena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</si>
</sst>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name val="Arial"/>
    </font>
    <font>
      <b/>
      <sz val="24"/>
      <color indexed="8"/>
      <name val="Arial"/>
    </font>
    <font>
      <sz val="11"/>
      <color indexed="8"/>
      <name val="Arial"/>
    </font>
    <font>
      <b/>
      <sz val="11"/>
      <color indexed="8"/>
      <name val="Arial"/>
    </font>
    <font>
      <sz val="10"/>
      <color indexed="8"/>
      <name val="SansSerif"/>
    </font>
    <font>
      <b/>
      <sz val="10"/>
      <name val="Arial"/>
      <family val="2"/>
    </font>
    <font>
      <b/>
      <sz val="24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Border="1" applyAlignment="1" applyProtection="1">
      <alignment horizontal="left" vertical="top" wrapText="1"/>
    </xf>
    <xf numFmtId="0" fontId="3" fillId="0" borderId="1" xfId="0" applyFont="1" applyBorder="1" applyAlignment="1" applyProtection="1">
      <alignment horizontal="right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right" vertical="center" wrapText="1"/>
    </xf>
    <xf numFmtId="0" fontId="2" fillId="0" borderId="1" xfId="0" applyFont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 applyProtection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5" fillId="0" borderId="0" xfId="0" applyFont="1"/>
    <xf numFmtId="0" fontId="2" fillId="0" borderId="0" xfId="0" applyFont="1" applyBorder="1" applyAlignment="1" applyProtection="1">
      <alignment horizontal="left" vertical="top" wrapText="1"/>
    </xf>
    <xf numFmtId="0" fontId="6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tabSelected="1" topLeftCell="A58" workbookViewId="0">
      <selection activeCell="L7" sqref="L7:L63"/>
    </sheetView>
  </sheetViews>
  <sheetFormatPr defaultRowHeight="14.25"/>
  <cols>
    <col min="1" max="1" width="13.42578125" customWidth="1"/>
    <col min="2" max="4" width="21.85546875" customWidth="1"/>
    <col min="5" max="5" width="10.5703125" customWidth="1"/>
    <col min="6" max="6" width="10.42578125" customWidth="1"/>
    <col min="7" max="7" width="9.140625" style="9"/>
    <col min="10" max="10" width="9.140625" style="16"/>
    <col min="12" max="12" width="18" bestFit="1" customWidth="1"/>
  </cols>
  <sheetData>
    <row r="1" spans="1:13" ht="53.1" customHeight="1">
      <c r="A1" s="18" t="s">
        <v>386</v>
      </c>
      <c r="B1" s="19"/>
      <c r="C1" s="19"/>
      <c r="D1" s="19"/>
      <c r="E1" s="19"/>
      <c r="F1" s="19"/>
    </row>
    <row r="2" spans="1:13" ht="20.100000000000001" customHeight="1">
      <c r="A2" s="17" t="s">
        <v>0</v>
      </c>
      <c r="B2" s="17"/>
      <c r="C2" s="17"/>
      <c r="D2" s="17"/>
      <c r="E2" s="17"/>
      <c r="F2" s="17"/>
    </row>
    <row r="3" spans="1:13" ht="20.100000000000001" customHeight="1">
      <c r="A3" s="20" t="s">
        <v>1</v>
      </c>
      <c r="B3" s="20"/>
      <c r="C3" s="21" t="s">
        <v>2</v>
      </c>
      <c r="D3" s="21"/>
      <c r="E3" s="21"/>
      <c r="F3" s="21"/>
    </row>
    <row r="4" spans="1:13" ht="20.100000000000001" customHeight="1">
      <c r="A4" s="20" t="s">
        <v>3</v>
      </c>
      <c r="B4" s="20"/>
      <c r="C4" s="21" t="s">
        <v>4</v>
      </c>
      <c r="D4" s="21"/>
      <c r="E4" s="21"/>
      <c r="F4" s="21"/>
    </row>
    <row r="5" spans="1:13" ht="20.100000000000001" customHeight="1">
      <c r="A5" s="17" t="s">
        <v>0</v>
      </c>
      <c r="B5" s="17"/>
      <c r="C5" s="17"/>
      <c r="D5" s="17"/>
      <c r="E5" s="17"/>
      <c r="F5" s="17"/>
    </row>
    <row r="6" spans="1:13" ht="20.100000000000001" customHeight="1">
      <c r="A6" s="2" t="s">
        <v>5</v>
      </c>
      <c r="B6" s="3" t="s">
        <v>6</v>
      </c>
      <c r="C6" s="3" t="s">
        <v>7</v>
      </c>
      <c r="D6" s="3" t="s">
        <v>8</v>
      </c>
      <c r="E6" s="4" t="s">
        <v>383</v>
      </c>
      <c r="F6" s="4" t="s">
        <v>384</v>
      </c>
      <c r="G6" s="10" t="s">
        <v>385</v>
      </c>
      <c r="H6" s="12" t="s">
        <v>387</v>
      </c>
      <c r="I6" s="12" t="s">
        <v>388</v>
      </c>
      <c r="J6" s="12" t="s">
        <v>389</v>
      </c>
      <c r="K6" s="13" t="s">
        <v>390</v>
      </c>
      <c r="L6" s="13" t="s">
        <v>391</v>
      </c>
      <c r="M6" s="13" t="s">
        <v>392</v>
      </c>
    </row>
    <row r="7" spans="1:13" ht="20.100000000000001" customHeight="1">
      <c r="A7" s="5" t="s">
        <v>193</v>
      </c>
      <c r="B7" s="6" t="s">
        <v>194</v>
      </c>
      <c r="C7" s="6" t="s">
        <v>11</v>
      </c>
      <c r="D7" s="6" t="s">
        <v>78</v>
      </c>
      <c r="E7" s="7">
        <v>49</v>
      </c>
      <c r="F7" s="7">
        <v>46</v>
      </c>
      <c r="G7" s="11">
        <f>SUM(E7,F7)/2</f>
        <v>47.5</v>
      </c>
      <c r="H7" s="8">
        <v>50</v>
      </c>
      <c r="I7" s="8"/>
      <c r="J7" s="12">
        <f>(H7+I7)/2</f>
        <v>25</v>
      </c>
      <c r="K7" s="15">
        <v>9.6</v>
      </c>
      <c r="L7" s="14">
        <f>(G7+J7)+K7</f>
        <v>82.1</v>
      </c>
      <c r="M7" s="14"/>
    </row>
    <row r="8" spans="1:13" ht="20.100000000000001" customHeight="1">
      <c r="A8" s="5" t="s">
        <v>197</v>
      </c>
      <c r="B8" s="6" t="s">
        <v>198</v>
      </c>
      <c r="C8" s="6" t="s">
        <v>199</v>
      </c>
      <c r="D8" s="6" t="s">
        <v>124</v>
      </c>
      <c r="E8" s="7">
        <v>50</v>
      </c>
      <c r="F8" s="7">
        <v>45</v>
      </c>
      <c r="G8" s="11">
        <f>SUM(E8,F8)/2</f>
        <v>47.5</v>
      </c>
      <c r="H8" s="8">
        <v>38</v>
      </c>
      <c r="I8" s="8"/>
      <c r="J8" s="12">
        <f>(H8+I8)/2</f>
        <v>19</v>
      </c>
      <c r="K8" s="15">
        <v>10</v>
      </c>
      <c r="L8" s="14">
        <f>(G8+J8)+K8</f>
        <v>76.5</v>
      </c>
      <c r="M8" s="14"/>
    </row>
    <row r="9" spans="1:13" ht="20.100000000000001" customHeight="1">
      <c r="A9" s="5" t="s">
        <v>148</v>
      </c>
      <c r="B9" s="6" t="s">
        <v>149</v>
      </c>
      <c r="C9" s="6" t="s">
        <v>150</v>
      </c>
      <c r="D9" s="6" t="s">
        <v>151</v>
      </c>
      <c r="E9" s="7">
        <v>48</v>
      </c>
      <c r="F9" s="7">
        <v>32</v>
      </c>
      <c r="G9" s="11">
        <f>SUM(E9,F9)/2</f>
        <v>40</v>
      </c>
      <c r="H9" s="8">
        <v>50</v>
      </c>
      <c r="I9" s="8"/>
      <c r="J9" s="12">
        <f>(H9+I9)/2</f>
        <v>25</v>
      </c>
      <c r="K9" s="15">
        <v>10</v>
      </c>
      <c r="L9" s="14">
        <f>(G9+J9)+K9</f>
        <v>75</v>
      </c>
      <c r="M9" s="14"/>
    </row>
    <row r="10" spans="1:13" ht="20.100000000000001" customHeight="1">
      <c r="A10" s="5" t="s">
        <v>248</v>
      </c>
      <c r="B10" s="6" t="s">
        <v>249</v>
      </c>
      <c r="C10" s="6" t="s">
        <v>11</v>
      </c>
      <c r="D10" s="6" t="s">
        <v>114</v>
      </c>
      <c r="E10" s="7">
        <v>40</v>
      </c>
      <c r="F10" s="7">
        <v>39</v>
      </c>
      <c r="G10" s="11">
        <f>SUM(E10,F10)/2</f>
        <v>39.5</v>
      </c>
      <c r="H10" s="8">
        <v>50</v>
      </c>
      <c r="I10" s="8"/>
      <c r="J10" s="12">
        <f>(H10+I10)/2</f>
        <v>25</v>
      </c>
      <c r="K10" s="15">
        <v>10</v>
      </c>
      <c r="L10" s="14">
        <f>(G10+J10)+K10</f>
        <v>74.5</v>
      </c>
      <c r="M10" s="14"/>
    </row>
    <row r="11" spans="1:13" ht="20.100000000000001" customHeight="1">
      <c r="A11" s="5" t="s">
        <v>177</v>
      </c>
      <c r="B11" s="6" t="s">
        <v>178</v>
      </c>
      <c r="C11" s="6" t="s">
        <v>179</v>
      </c>
      <c r="D11" s="6" t="s">
        <v>180</v>
      </c>
      <c r="E11" s="7">
        <v>48</v>
      </c>
      <c r="F11" s="7">
        <v>27</v>
      </c>
      <c r="G11" s="11">
        <f>SUM(E11,F11)/2</f>
        <v>37.5</v>
      </c>
      <c r="H11" s="8">
        <v>50</v>
      </c>
      <c r="I11" s="8"/>
      <c r="J11" s="12">
        <f>(H11+I11)/2</f>
        <v>25</v>
      </c>
      <c r="K11" s="15">
        <v>10</v>
      </c>
      <c r="L11" s="14">
        <f>(G11+J11)+K11</f>
        <v>72.5</v>
      </c>
      <c r="M11" s="14"/>
    </row>
    <row r="12" spans="1:13" ht="20.100000000000001" customHeight="1">
      <c r="A12" s="5" t="s">
        <v>268</v>
      </c>
      <c r="B12" s="6" t="s">
        <v>269</v>
      </c>
      <c r="C12" s="6" t="s">
        <v>30</v>
      </c>
      <c r="D12" s="6" t="s">
        <v>118</v>
      </c>
      <c r="E12" s="7">
        <v>40</v>
      </c>
      <c r="F12" s="7">
        <v>39</v>
      </c>
      <c r="G12" s="11">
        <f>SUM(E12,F12)/2</f>
        <v>39.5</v>
      </c>
      <c r="H12" s="8">
        <v>44</v>
      </c>
      <c r="I12" s="8"/>
      <c r="J12" s="12">
        <f>(H12+I12)/2</f>
        <v>22</v>
      </c>
      <c r="K12" s="15">
        <v>9.8000000000000007</v>
      </c>
      <c r="L12" s="14">
        <f>(G12+J12)+K12</f>
        <v>71.3</v>
      </c>
      <c r="M12" s="14"/>
    </row>
    <row r="13" spans="1:13" ht="20.100000000000001" customHeight="1">
      <c r="A13" s="5" t="s">
        <v>125</v>
      </c>
      <c r="B13" s="6" t="s">
        <v>126</v>
      </c>
      <c r="C13" s="6" t="s">
        <v>74</v>
      </c>
      <c r="D13" s="6" t="s">
        <v>127</v>
      </c>
      <c r="E13" s="7">
        <v>38</v>
      </c>
      <c r="F13" s="7">
        <v>37</v>
      </c>
      <c r="G13" s="11">
        <f>SUM(E13,F13)/2</f>
        <v>37.5</v>
      </c>
      <c r="H13" s="8">
        <v>47</v>
      </c>
      <c r="I13" s="8"/>
      <c r="J13" s="12">
        <f>(H13+I13)/2</f>
        <v>23.5</v>
      </c>
      <c r="K13" s="15">
        <v>10</v>
      </c>
      <c r="L13" s="14">
        <f>(G13+J13)+K13</f>
        <v>71</v>
      </c>
      <c r="M13" s="14"/>
    </row>
    <row r="14" spans="1:13" ht="20.100000000000001" customHeight="1">
      <c r="A14" s="5" t="s">
        <v>175</v>
      </c>
      <c r="B14" s="6" t="s">
        <v>98</v>
      </c>
      <c r="C14" s="6" t="s">
        <v>11</v>
      </c>
      <c r="D14" s="6" t="s">
        <v>176</v>
      </c>
      <c r="E14" s="7">
        <v>32</v>
      </c>
      <c r="F14" s="7">
        <v>37</v>
      </c>
      <c r="G14" s="11">
        <f>SUM(E14,F14)/2</f>
        <v>34.5</v>
      </c>
      <c r="H14" s="8">
        <v>49</v>
      </c>
      <c r="I14" s="8"/>
      <c r="J14" s="12">
        <f>(H14+I14)/2</f>
        <v>24.5</v>
      </c>
      <c r="K14" s="15">
        <v>9.3000000000000007</v>
      </c>
      <c r="L14" s="14">
        <f>(G14+J14)+K14</f>
        <v>68.3</v>
      </c>
      <c r="M14" s="14"/>
    </row>
    <row r="15" spans="1:13" ht="20.100000000000001" customHeight="1">
      <c r="A15" s="5" t="s">
        <v>105</v>
      </c>
      <c r="B15" s="6" t="s">
        <v>106</v>
      </c>
      <c r="C15" s="6" t="s">
        <v>107</v>
      </c>
      <c r="D15" s="6" t="s">
        <v>46</v>
      </c>
      <c r="E15" s="7">
        <v>36</v>
      </c>
      <c r="F15" s="7">
        <v>33</v>
      </c>
      <c r="G15" s="11">
        <f>SUM(E15,F15)/2</f>
        <v>34.5</v>
      </c>
      <c r="H15" s="8">
        <v>44</v>
      </c>
      <c r="I15" s="8"/>
      <c r="J15" s="12">
        <f>(H15+I15)/2</f>
        <v>22</v>
      </c>
      <c r="K15" s="15">
        <v>10</v>
      </c>
      <c r="L15" s="14">
        <f>(G15+J15)+K15</f>
        <v>66.5</v>
      </c>
      <c r="M15" s="14"/>
    </row>
    <row r="16" spans="1:13" ht="20.100000000000001" customHeight="1">
      <c r="A16" s="5" t="s">
        <v>376</v>
      </c>
      <c r="B16" s="6" t="s">
        <v>377</v>
      </c>
      <c r="C16" s="6" t="s">
        <v>16</v>
      </c>
      <c r="D16" s="6" t="s">
        <v>378</v>
      </c>
      <c r="E16" s="7">
        <v>48</v>
      </c>
      <c r="F16" s="7">
        <v>14</v>
      </c>
      <c r="G16" s="11">
        <f>SUM(E16,F16)/2</f>
        <v>31</v>
      </c>
      <c r="H16" s="8">
        <v>50</v>
      </c>
      <c r="I16" s="8"/>
      <c r="J16" s="12">
        <f>(H16+I16)/2</f>
        <v>25</v>
      </c>
      <c r="K16" s="15">
        <v>9.6</v>
      </c>
      <c r="L16" s="14">
        <f>(G16+J16)+K16</f>
        <v>65.599999999999994</v>
      </c>
      <c r="M16" s="14"/>
    </row>
    <row r="17" spans="1:13" ht="20.100000000000001" customHeight="1">
      <c r="A17" s="5" t="s">
        <v>292</v>
      </c>
      <c r="B17" s="6" t="s">
        <v>293</v>
      </c>
      <c r="C17" s="6" t="s">
        <v>294</v>
      </c>
      <c r="D17" s="6" t="s">
        <v>161</v>
      </c>
      <c r="E17" s="7">
        <v>44</v>
      </c>
      <c r="F17" s="7">
        <v>43</v>
      </c>
      <c r="G17" s="11">
        <f>SUM(E17,F17)/2</f>
        <v>43.5</v>
      </c>
      <c r="H17" s="8">
        <v>25</v>
      </c>
      <c r="I17" s="8"/>
      <c r="J17" s="12">
        <f>(H17+I17)/2</f>
        <v>12.5</v>
      </c>
      <c r="K17" s="15">
        <v>9.5</v>
      </c>
      <c r="L17" s="14">
        <f>(G17+J17)+K17</f>
        <v>65.5</v>
      </c>
      <c r="M17" s="14"/>
    </row>
    <row r="18" spans="1:13" ht="20.100000000000001" customHeight="1">
      <c r="A18" s="5" t="s">
        <v>364</v>
      </c>
      <c r="B18" s="6" t="s">
        <v>365</v>
      </c>
      <c r="C18" s="6" t="s">
        <v>366</v>
      </c>
      <c r="D18" s="6" t="s">
        <v>226</v>
      </c>
      <c r="E18" s="7">
        <v>47</v>
      </c>
      <c r="F18" s="7">
        <v>22</v>
      </c>
      <c r="G18" s="11">
        <f>SUM(E18,F18)/2</f>
        <v>34.5</v>
      </c>
      <c r="H18" s="8">
        <v>45</v>
      </c>
      <c r="I18" s="8"/>
      <c r="J18" s="12">
        <f>(H18+I18)/2</f>
        <v>22.5</v>
      </c>
      <c r="K18" s="15">
        <v>8</v>
      </c>
      <c r="L18" s="14">
        <f>(G18+J18)+K18</f>
        <v>65</v>
      </c>
      <c r="M18" s="14"/>
    </row>
    <row r="19" spans="1:13" ht="20.100000000000001" customHeight="1">
      <c r="A19" s="5" t="s">
        <v>159</v>
      </c>
      <c r="B19" s="6" t="s">
        <v>160</v>
      </c>
      <c r="C19" s="6" t="s">
        <v>161</v>
      </c>
      <c r="D19" s="6" t="s">
        <v>162</v>
      </c>
      <c r="E19" s="7">
        <v>34</v>
      </c>
      <c r="F19" s="7">
        <v>26</v>
      </c>
      <c r="G19" s="11">
        <f>SUM(E19,F19)/2</f>
        <v>30</v>
      </c>
      <c r="H19" s="8">
        <v>50</v>
      </c>
      <c r="I19" s="8"/>
      <c r="J19" s="12">
        <f>(H19+I19)/2</f>
        <v>25</v>
      </c>
      <c r="K19" s="15">
        <v>10</v>
      </c>
      <c r="L19" s="14">
        <f>(G19+J19)+K19</f>
        <v>65</v>
      </c>
      <c r="M19" s="14"/>
    </row>
    <row r="20" spans="1:13" ht="20.100000000000001" customHeight="1">
      <c r="A20" s="5" t="s">
        <v>236</v>
      </c>
      <c r="B20" s="6" t="s">
        <v>237</v>
      </c>
      <c r="C20" s="6" t="s">
        <v>11</v>
      </c>
      <c r="D20" s="6" t="s">
        <v>71</v>
      </c>
      <c r="E20" s="7">
        <v>44</v>
      </c>
      <c r="F20" s="7">
        <v>24</v>
      </c>
      <c r="G20" s="11">
        <f>SUM(E20,F20)/2</f>
        <v>34</v>
      </c>
      <c r="H20" s="8">
        <v>47</v>
      </c>
      <c r="I20" s="8"/>
      <c r="J20" s="12">
        <f>(H20+I20)/2</f>
        <v>23.5</v>
      </c>
      <c r="K20" s="15">
        <v>7.3</v>
      </c>
      <c r="L20" s="14">
        <f>(G20+J20)+K20</f>
        <v>64.8</v>
      </c>
      <c r="M20" s="14"/>
    </row>
    <row r="21" spans="1:13" ht="20.100000000000001" customHeight="1">
      <c r="A21" s="5" t="s">
        <v>145</v>
      </c>
      <c r="B21" s="6" t="s">
        <v>146</v>
      </c>
      <c r="C21" s="6" t="s">
        <v>71</v>
      </c>
      <c r="D21" s="6" t="s">
        <v>147</v>
      </c>
      <c r="E21" s="7">
        <v>38</v>
      </c>
      <c r="F21" s="7">
        <v>33</v>
      </c>
      <c r="G21" s="11">
        <f>SUM(E21,F21)/2</f>
        <v>35.5</v>
      </c>
      <c r="H21" s="8">
        <v>39</v>
      </c>
      <c r="I21" s="8"/>
      <c r="J21" s="12">
        <f>(H21+I21)/2</f>
        <v>19.5</v>
      </c>
      <c r="K21" s="15">
        <v>9.8000000000000007</v>
      </c>
      <c r="L21" s="14">
        <f>(G21+J21)+K21</f>
        <v>64.8</v>
      </c>
      <c r="M21" s="14"/>
    </row>
    <row r="22" spans="1:13" ht="20.100000000000001" customHeight="1">
      <c r="A22" s="5" t="s">
        <v>202</v>
      </c>
      <c r="B22" s="6" t="s">
        <v>203</v>
      </c>
      <c r="C22" s="6" t="s">
        <v>136</v>
      </c>
      <c r="D22" s="6" t="s">
        <v>204</v>
      </c>
      <c r="E22" s="7">
        <v>42</v>
      </c>
      <c r="F22" s="7">
        <v>21</v>
      </c>
      <c r="G22" s="11">
        <f>SUM(E22,F22)/2</f>
        <v>31.5</v>
      </c>
      <c r="H22" s="8">
        <v>50</v>
      </c>
      <c r="I22" s="8"/>
      <c r="J22" s="12">
        <f>(H22+I22)/2</f>
        <v>25</v>
      </c>
      <c r="K22" s="15">
        <v>7.3</v>
      </c>
      <c r="L22" s="14">
        <f>(G22+J22)+K22</f>
        <v>63.8</v>
      </c>
      <c r="M22" s="14"/>
    </row>
    <row r="23" spans="1:13" ht="20.100000000000001" customHeight="1">
      <c r="A23" s="5" t="s">
        <v>209</v>
      </c>
      <c r="B23" s="6" t="s">
        <v>210</v>
      </c>
      <c r="C23" s="6" t="s">
        <v>11</v>
      </c>
      <c r="D23" s="6" t="s">
        <v>133</v>
      </c>
      <c r="E23" s="7">
        <v>32</v>
      </c>
      <c r="F23" s="7">
        <v>30</v>
      </c>
      <c r="G23" s="11">
        <f>SUM(E23,F23)/2</f>
        <v>31</v>
      </c>
      <c r="H23" s="8">
        <v>47</v>
      </c>
      <c r="I23" s="8"/>
      <c r="J23" s="12">
        <f>(H23+I23)/2</f>
        <v>23.5</v>
      </c>
      <c r="K23" s="15">
        <v>9</v>
      </c>
      <c r="L23" s="14">
        <f>(G23+J23)+K23</f>
        <v>63.5</v>
      </c>
      <c r="M23" s="14"/>
    </row>
    <row r="24" spans="1:13" ht="20.100000000000001" customHeight="1">
      <c r="A24" s="5" t="s">
        <v>234</v>
      </c>
      <c r="B24" s="6" t="s">
        <v>18</v>
      </c>
      <c r="C24" s="6" t="s">
        <v>235</v>
      </c>
      <c r="D24" s="6" t="s">
        <v>161</v>
      </c>
      <c r="E24" s="7">
        <v>38</v>
      </c>
      <c r="F24" s="7">
        <v>21</v>
      </c>
      <c r="G24" s="11">
        <f>SUM(E24,F24)/2</f>
        <v>29.5</v>
      </c>
      <c r="H24" s="8">
        <v>50</v>
      </c>
      <c r="I24" s="8"/>
      <c r="J24" s="12">
        <f>(H24+I24)/2</f>
        <v>25</v>
      </c>
      <c r="K24" s="15">
        <v>7.2</v>
      </c>
      <c r="L24" s="14">
        <f>(G24+J24)+K24</f>
        <v>61.7</v>
      </c>
      <c r="M24" s="14"/>
    </row>
    <row r="25" spans="1:13" ht="20.100000000000001" customHeight="1">
      <c r="A25" s="5" t="s">
        <v>257</v>
      </c>
      <c r="B25" s="6" t="s">
        <v>258</v>
      </c>
      <c r="C25" s="6" t="s">
        <v>11</v>
      </c>
      <c r="D25" s="6" t="s">
        <v>182</v>
      </c>
      <c r="E25" s="7">
        <v>36</v>
      </c>
      <c r="F25" s="7">
        <v>21</v>
      </c>
      <c r="G25" s="11">
        <f>SUM(E25,F25)/2</f>
        <v>28.5</v>
      </c>
      <c r="H25" s="8">
        <v>50</v>
      </c>
      <c r="I25" s="8"/>
      <c r="J25" s="12">
        <f>(H25+I25)/2</f>
        <v>25</v>
      </c>
      <c r="K25" s="15">
        <v>7.6</v>
      </c>
      <c r="L25" s="14">
        <f>(G25+J25)+K25</f>
        <v>61.1</v>
      </c>
      <c r="M25" s="14"/>
    </row>
    <row r="26" spans="1:13" ht="20.100000000000001" customHeight="1">
      <c r="A26" s="5" t="s">
        <v>195</v>
      </c>
      <c r="B26" s="6" t="s">
        <v>196</v>
      </c>
      <c r="C26" s="6" t="s">
        <v>30</v>
      </c>
      <c r="D26" s="6" t="s">
        <v>11</v>
      </c>
      <c r="E26" s="7">
        <v>50</v>
      </c>
      <c r="F26" s="7">
        <v>14</v>
      </c>
      <c r="G26" s="11">
        <f>SUM(E26,F26)/2</f>
        <v>32</v>
      </c>
      <c r="H26" s="8">
        <v>44</v>
      </c>
      <c r="I26" s="8"/>
      <c r="J26" s="12">
        <f>(H26+I26)/2</f>
        <v>22</v>
      </c>
      <c r="K26" s="15">
        <v>7</v>
      </c>
      <c r="L26" s="14">
        <f>(G26+J26)+K26</f>
        <v>61</v>
      </c>
      <c r="M26" s="14"/>
    </row>
    <row r="27" spans="1:13" ht="20.100000000000001" customHeight="1">
      <c r="A27" s="5" t="s">
        <v>356</v>
      </c>
      <c r="B27" s="6" t="s">
        <v>357</v>
      </c>
      <c r="C27" s="6" t="s">
        <v>358</v>
      </c>
      <c r="D27" s="6" t="s">
        <v>359</v>
      </c>
      <c r="E27" s="7">
        <v>46</v>
      </c>
      <c r="F27" s="7">
        <v>8</v>
      </c>
      <c r="G27" s="11">
        <f>SUM(E27,F27)/2</f>
        <v>27</v>
      </c>
      <c r="H27" s="8">
        <v>49</v>
      </c>
      <c r="I27" s="8"/>
      <c r="J27" s="12">
        <f>(H27+I27)/2</f>
        <v>24.5</v>
      </c>
      <c r="K27" s="15">
        <v>9.5</v>
      </c>
      <c r="L27" s="14">
        <f>(G27+J27)+K27</f>
        <v>61</v>
      </c>
      <c r="M27" s="14"/>
    </row>
    <row r="28" spans="1:13" ht="20.100000000000001" customHeight="1">
      <c r="A28" s="5" t="s">
        <v>68</v>
      </c>
      <c r="B28" s="6" t="s">
        <v>69</v>
      </c>
      <c r="C28" s="6" t="s">
        <v>70</v>
      </c>
      <c r="D28" s="6" t="s">
        <v>71</v>
      </c>
      <c r="E28" s="7">
        <v>50</v>
      </c>
      <c r="F28" s="7">
        <v>20</v>
      </c>
      <c r="G28" s="11">
        <f>SUM(E28,F28)/2</f>
        <v>35</v>
      </c>
      <c r="H28" s="8">
        <v>31</v>
      </c>
      <c r="I28" s="8"/>
      <c r="J28" s="12">
        <f>(H28+I28)/2</f>
        <v>15.5</v>
      </c>
      <c r="K28" s="15">
        <v>10</v>
      </c>
      <c r="L28" s="14">
        <f>(G28+J28)+K28</f>
        <v>60.5</v>
      </c>
      <c r="M28" s="14"/>
    </row>
    <row r="29" spans="1:13" ht="20.100000000000001" customHeight="1">
      <c r="A29" s="5" t="s">
        <v>60</v>
      </c>
      <c r="B29" s="6" t="s">
        <v>61</v>
      </c>
      <c r="C29" s="6" t="s">
        <v>62</v>
      </c>
      <c r="D29" s="6" t="s">
        <v>63</v>
      </c>
      <c r="E29" s="7">
        <v>34</v>
      </c>
      <c r="F29" s="7">
        <v>23</v>
      </c>
      <c r="G29" s="11">
        <f>SUM(E29,F29)/2</f>
        <v>28.5</v>
      </c>
      <c r="H29" s="8">
        <v>45</v>
      </c>
      <c r="I29" s="8"/>
      <c r="J29" s="12">
        <f>(H29+I29)/2</f>
        <v>22.5</v>
      </c>
      <c r="K29" s="15">
        <v>9.5</v>
      </c>
      <c r="L29" s="14">
        <f>(G29+J29)+K29</f>
        <v>60.5</v>
      </c>
      <c r="M29" s="14"/>
    </row>
    <row r="30" spans="1:13" ht="20.100000000000001" customHeight="1">
      <c r="A30" s="5" t="s">
        <v>13</v>
      </c>
      <c r="B30" s="6" t="s">
        <v>14</v>
      </c>
      <c r="C30" s="6" t="s">
        <v>15</v>
      </c>
      <c r="D30" s="6" t="s">
        <v>16</v>
      </c>
      <c r="E30" s="7">
        <v>41</v>
      </c>
      <c r="F30" s="7">
        <v>10</v>
      </c>
      <c r="G30" s="11">
        <f>SUM(E30,F30)/2</f>
        <v>25.5</v>
      </c>
      <c r="H30" s="8">
        <v>50</v>
      </c>
      <c r="I30" s="8"/>
      <c r="J30" s="12">
        <f>(H30+I30)/2</f>
        <v>25</v>
      </c>
      <c r="K30" s="15">
        <v>10</v>
      </c>
      <c r="L30" s="14">
        <f>(G30+J30)+K30</f>
        <v>60.5</v>
      </c>
      <c r="M30" s="14"/>
    </row>
    <row r="31" spans="1:13" ht="20.100000000000001" customHeight="1">
      <c r="A31" s="5" t="s">
        <v>213</v>
      </c>
      <c r="B31" s="6" t="s">
        <v>214</v>
      </c>
      <c r="C31" s="6" t="s">
        <v>215</v>
      </c>
      <c r="D31" s="6" t="s">
        <v>216</v>
      </c>
      <c r="E31" s="7">
        <v>48</v>
      </c>
      <c r="F31" s="7">
        <v>11</v>
      </c>
      <c r="G31" s="11">
        <f>SUM(E31,F31)/2</f>
        <v>29.5</v>
      </c>
      <c r="H31" s="8">
        <v>50</v>
      </c>
      <c r="I31" s="8"/>
      <c r="J31" s="12">
        <f>(H31+I31)/2</f>
        <v>25</v>
      </c>
      <c r="K31" s="15">
        <v>5.8</v>
      </c>
      <c r="L31" s="14">
        <f>(G31+J31)+K31</f>
        <v>60.3</v>
      </c>
      <c r="M31" s="14"/>
    </row>
    <row r="32" spans="1:13" ht="20.100000000000001" customHeight="1">
      <c r="A32" s="5" t="s">
        <v>301</v>
      </c>
      <c r="B32" s="6" t="s">
        <v>106</v>
      </c>
      <c r="C32" s="6" t="s">
        <v>225</v>
      </c>
      <c r="D32" s="6" t="s">
        <v>302</v>
      </c>
      <c r="E32" s="7">
        <v>36</v>
      </c>
      <c r="F32" s="7">
        <v>19</v>
      </c>
      <c r="G32" s="11">
        <f>SUM(E32,F32)/2</f>
        <v>27.5</v>
      </c>
      <c r="H32" s="8">
        <v>46</v>
      </c>
      <c r="I32" s="8"/>
      <c r="J32" s="12">
        <f>(H32+I32)/2</f>
        <v>23</v>
      </c>
      <c r="K32" s="15">
        <v>9.8000000000000007</v>
      </c>
      <c r="L32" s="14">
        <f>(G32+J32)+K32</f>
        <v>60.3</v>
      </c>
      <c r="M32" s="14"/>
    </row>
    <row r="33" spans="1:13" ht="20.100000000000001" customHeight="1">
      <c r="A33" s="5" t="s">
        <v>94</v>
      </c>
      <c r="B33" s="6" t="s">
        <v>95</v>
      </c>
      <c r="C33" s="6" t="s">
        <v>96</v>
      </c>
      <c r="D33" s="6" t="s">
        <v>16</v>
      </c>
      <c r="E33" s="7">
        <v>45</v>
      </c>
      <c r="F33" s="7">
        <v>8</v>
      </c>
      <c r="G33" s="11">
        <f>SUM(E33,F33)/2</f>
        <v>26.5</v>
      </c>
      <c r="H33" s="8">
        <v>48</v>
      </c>
      <c r="I33" s="8"/>
      <c r="J33" s="12">
        <f>(H33+I33)/2</f>
        <v>24</v>
      </c>
      <c r="K33" s="15">
        <v>9.6</v>
      </c>
      <c r="L33" s="14">
        <f>(G33+J33)+K33</f>
        <v>60.1</v>
      </c>
      <c r="M33" s="14"/>
    </row>
    <row r="34" spans="1:13" ht="20.100000000000001" customHeight="1">
      <c r="A34" s="5" t="s">
        <v>205</v>
      </c>
      <c r="B34" s="6" t="s">
        <v>206</v>
      </c>
      <c r="C34" s="6" t="s">
        <v>207</v>
      </c>
      <c r="D34" s="6" t="s">
        <v>208</v>
      </c>
      <c r="E34" s="7">
        <v>39</v>
      </c>
      <c r="F34" s="7">
        <v>21</v>
      </c>
      <c r="G34" s="11">
        <f>SUM(E34,F34)/2</f>
        <v>30</v>
      </c>
      <c r="H34" s="8">
        <v>44</v>
      </c>
      <c r="I34" s="8"/>
      <c r="J34" s="12">
        <f>(H34+I34)/2</f>
        <v>22</v>
      </c>
      <c r="K34" s="15">
        <v>7.8</v>
      </c>
      <c r="L34" s="14">
        <f>(G34+J34)+K34</f>
        <v>59.8</v>
      </c>
      <c r="M34" s="14"/>
    </row>
    <row r="35" spans="1:13" ht="20.100000000000001" customHeight="1">
      <c r="A35" s="5" t="s">
        <v>171</v>
      </c>
      <c r="B35" s="6" t="s">
        <v>95</v>
      </c>
      <c r="C35" s="6" t="s">
        <v>11</v>
      </c>
      <c r="D35" s="6" t="s">
        <v>51</v>
      </c>
      <c r="E35" s="7">
        <v>36</v>
      </c>
      <c r="F35" s="7">
        <v>14</v>
      </c>
      <c r="G35" s="11">
        <f>SUM(E35,F35)/2</f>
        <v>25</v>
      </c>
      <c r="H35" s="8">
        <v>50</v>
      </c>
      <c r="I35" s="8"/>
      <c r="J35" s="12">
        <f>(H35+I35)/2</f>
        <v>25</v>
      </c>
      <c r="K35" s="15">
        <v>9.8000000000000007</v>
      </c>
      <c r="L35" s="14">
        <f>(G35+J35)+K35</f>
        <v>59.8</v>
      </c>
      <c r="M35" s="14"/>
    </row>
    <row r="36" spans="1:13" ht="20.100000000000001" customHeight="1">
      <c r="A36" s="5" t="s">
        <v>295</v>
      </c>
      <c r="B36" s="6" t="s">
        <v>296</v>
      </c>
      <c r="C36" s="6" t="s">
        <v>110</v>
      </c>
      <c r="D36" s="6" t="s">
        <v>297</v>
      </c>
      <c r="E36" s="7">
        <v>41</v>
      </c>
      <c r="F36" s="7">
        <v>8</v>
      </c>
      <c r="G36" s="11">
        <f>SUM(E36,F36)/2</f>
        <v>24.5</v>
      </c>
      <c r="H36" s="8">
        <v>50</v>
      </c>
      <c r="I36" s="8"/>
      <c r="J36" s="12">
        <f>(H36+I36)/2</f>
        <v>25</v>
      </c>
      <c r="K36" s="15">
        <v>10</v>
      </c>
      <c r="L36" s="14">
        <f>(G36+J36)+K36</f>
        <v>59.5</v>
      </c>
      <c r="M36" s="14"/>
    </row>
    <row r="37" spans="1:13" ht="20.100000000000001" customHeight="1">
      <c r="A37" s="5" t="s">
        <v>343</v>
      </c>
      <c r="B37" s="6" t="s">
        <v>164</v>
      </c>
      <c r="C37" s="6" t="s">
        <v>96</v>
      </c>
      <c r="D37" s="6" t="s">
        <v>158</v>
      </c>
      <c r="E37" s="7">
        <v>48</v>
      </c>
      <c r="F37" s="7">
        <v>19</v>
      </c>
      <c r="G37" s="11">
        <f>SUM(E37,F37)/2</f>
        <v>33.5</v>
      </c>
      <c r="H37" s="8">
        <v>32.5</v>
      </c>
      <c r="I37" s="8"/>
      <c r="J37" s="12">
        <f>(H37+I37)/2</f>
        <v>16.25</v>
      </c>
      <c r="K37" s="15">
        <v>9.5</v>
      </c>
      <c r="L37" s="14">
        <f>(G37+J37)+K37</f>
        <v>59.25</v>
      </c>
      <c r="M37" s="14"/>
    </row>
    <row r="38" spans="1:13" ht="20.100000000000001" customHeight="1">
      <c r="A38" s="5" t="s">
        <v>253</v>
      </c>
      <c r="B38" s="6" t="s">
        <v>254</v>
      </c>
      <c r="C38" s="6" t="s">
        <v>255</v>
      </c>
      <c r="D38" s="6" t="s">
        <v>256</v>
      </c>
      <c r="E38" s="7">
        <v>38</v>
      </c>
      <c r="F38" s="7">
        <v>19</v>
      </c>
      <c r="G38" s="11">
        <f>SUM(E38,F38)/2</f>
        <v>28.5</v>
      </c>
      <c r="H38" s="8">
        <v>45</v>
      </c>
      <c r="I38" s="8"/>
      <c r="J38" s="12">
        <f>(H38+I38)/2</f>
        <v>22.5</v>
      </c>
      <c r="K38" s="15">
        <v>7.5</v>
      </c>
      <c r="L38" s="14">
        <f>(G38+J38)+K38</f>
        <v>58.5</v>
      </c>
      <c r="M38" s="14"/>
    </row>
    <row r="39" spans="1:13" ht="20.100000000000001" customHeight="1">
      <c r="A39" s="5" t="s">
        <v>181</v>
      </c>
      <c r="B39" s="6" t="s">
        <v>160</v>
      </c>
      <c r="C39" s="6" t="s">
        <v>96</v>
      </c>
      <c r="D39" s="6" t="s">
        <v>182</v>
      </c>
      <c r="E39" s="7">
        <v>38</v>
      </c>
      <c r="F39" s="7">
        <v>24</v>
      </c>
      <c r="G39" s="11">
        <f>SUM(E39,F39)/2</f>
        <v>31</v>
      </c>
      <c r="H39" s="8">
        <v>35</v>
      </c>
      <c r="I39" s="8"/>
      <c r="J39" s="12">
        <f>(H39+I39)/2</f>
        <v>17.5</v>
      </c>
      <c r="K39" s="15">
        <v>9.6</v>
      </c>
      <c r="L39" s="14">
        <f>(G39+J39)+K39</f>
        <v>58.1</v>
      </c>
      <c r="M39" s="14"/>
    </row>
    <row r="40" spans="1:13" ht="20.100000000000001" customHeight="1">
      <c r="A40" s="5" t="s">
        <v>350</v>
      </c>
      <c r="B40" s="6" t="s">
        <v>351</v>
      </c>
      <c r="C40" s="6" t="s">
        <v>352</v>
      </c>
      <c r="D40" s="6" t="s">
        <v>176</v>
      </c>
      <c r="E40" s="7">
        <v>36</v>
      </c>
      <c r="F40" s="7">
        <v>10</v>
      </c>
      <c r="G40" s="11">
        <f>SUM(E40,F40)/2</f>
        <v>23</v>
      </c>
      <c r="H40" s="8">
        <v>50</v>
      </c>
      <c r="I40" s="8"/>
      <c r="J40" s="12">
        <f>(H40+I40)/2</f>
        <v>25</v>
      </c>
      <c r="K40" s="15">
        <v>9.8000000000000007</v>
      </c>
      <c r="L40" s="14">
        <f>(G40+J40)+K40</f>
        <v>57.8</v>
      </c>
      <c r="M40" s="14"/>
    </row>
    <row r="41" spans="1:13" ht="20.100000000000001" customHeight="1">
      <c r="A41" s="5" t="s">
        <v>200</v>
      </c>
      <c r="B41" s="6" t="s">
        <v>198</v>
      </c>
      <c r="C41" s="6" t="s">
        <v>199</v>
      </c>
      <c r="D41" s="6" t="s">
        <v>201</v>
      </c>
      <c r="E41" s="7">
        <v>25</v>
      </c>
      <c r="F41" s="7">
        <v>20</v>
      </c>
      <c r="G41" s="11">
        <f>SUM(E41,F41)/2</f>
        <v>22.5</v>
      </c>
      <c r="H41" s="8">
        <v>50</v>
      </c>
      <c r="I41" s="8"/>
      <c r="J41" s="12">
        <f>(H41+I41)/2</f>
        <v>25</v>
      </c>
      <c r="K41" s="15">
        <v>10</v>
      </c>
      <c r="L41" s="14">
        <f>(G41+J41)+K41</f>
        <v>57.5</v>
      </c>
      <c r="M41" s="14"/>
    </row>
    <row r="42" spans="1:13" ht="20.100000000000001" customHeight="1">
      <c r="A42" s="5" t="s">
        <v>317</v>
      </c>
      <c r="B42" s="6" t="s">
        <v>318</v>
      </c>
      <c r="C42" s="6" t="s">
        <v>319</v>
      </c>
      <c r="D42" s="6" t="s">
        <v>320</v>
      </c>
      <c r="E42" s="7">
        <v>36</v>
      </c>
      <c r="F42" s="7">
        <v>9</v>
      </c>
      <c r="G42" s="11">
        <f>SUM(E42,F42)/2</f>
        <v>22.5</v>
      </c>
      <c r="H42" s="8">
        <v>50</v>
      </c>
      <c r="I42" s="8"/>
      <c r="J42" s="12">
        <f>(H42+I42)/2</f>
        <v>25</v>
      </c>
      <c r="K42" s="15">
        <v>10</v>
      </c>
      <c r="L42" s="14">
        <f>(G42+J42)+K42</f>
        <v>57.5</v>
      </c>
      <c r="M42" s="14"/>
    </row>
    <row r="43" spans="1:13" ht="20.100000000000001" customHeight="1">
      <c r="A43" s="5" t="s">
        <v>290</v>
      </c>
      <c r="B43" s="6" t="s">
        <v>291</v>
      </c>
      <c r="C43" s="6" t="s">
        <v>208</v>
      </c>
      <c r="D43" s="6" t="s">
        <v>71</v>
      </c>
      <c r="E43" s="7">
        <v>50</v>
      </c>
      <c r="F43" s="7">
        <v>26</v>
      </c>
      <c r="G43" s="11">
        <f>SUM(E43,F43)/2</f>
        <v>38</v>
      </c>
      <c r="H43" s="8">
        <v>23</v>
      </c>
      <c r="I43" s="8"/>
      <c r="J43" s="12">
        <f>(H43+I43)/2</f>
        <v>11.5</v>
      </c>
      <c r="K43" s="15">
        <v>7.5</v>
      </c>
      <c r="L43" s="14">
        <f>(G43+J43)+K43</f>
        <v>57</v>
      </c>
      <c r="M43" s="14"/>
    </row>
    <row r="44" spans="1:13" ht="20.100000000000001" customHeight="1">
      <c r="A44" s="5" t="s">
        <v>310</v>
      </c>
      <c r="B44" s="6" t="s">
        <v>88</v>
      </c>
      <c r="C44" s="6" t="s">
        <v>240</v>
      </c>
      <c r="D44" s="6" t="s">
        <v>182</v>
      </c>
      <c r="E44" s="7">
        <v>38</v>
      </c>
      <c r="F44" s="7">
        <v>8</v>
      </c>
      <c r="G44" s="11">
        <f>SUM(E44,F44)/2</f>
        <v>23</v>
      </c>
      <c r="H44" s="8">
        <v>50</v>
      </c>
      <c r="I44" s="8"/>
      <c r="J44" s="12">
        <f>(H44+I44)/2</f>
        <v>25</v>
      </c>
      <c r="K44" s="15">
        <v>8.3000000000000007</v>
      </c>
      <c r="L44" s="14">
        <f>(G44+J44)+K44</f>
        <v>56.3</v>
      </c>
      <c r="M44" s="14"/>
    </row>
    <row r="45" spans="1:13" ht="20.100000000000001" customHeight="1">
      <c r="A45" s="5" t="s">
        <v>325</v>
      </c>
      <c r="B45" s="6" t="s">
        <v>326</v>
      </c>
      <c r="C45" s="6" t="s">
        <v>11</v>
      </c>
      <c r="D45" s="6" t="s">
        <v>327</v>
      </c>
      <c r="E45" s="7">
        <v>40</v>
      </c>
      <c r="F45" s="7">
        <v>4</v>
      </c>
      <c r="G45" s="11">
        <f>SUM(E45,F45)/2</f>
        <v>22</v>
      </c>
      <c r="H45" s="8">
        <v>50</v>
      </c>
      <c r="I45" s="8"/>
      <c r="J45" s="12">
        <f>(H45+I45)/2</f>
        <v>25</v>
      </c>
      <c r="K45" s="15">
        <v>8.8000000000000007</v>
      </c>
      <c r="L45" s="14">
        <f>(G45+J45)+K45</f>
        <v>55.8</v>
      </c>
      <c r="M45" s="14"/>
    </row>
    <row r="46" spans="1:13" ht="20.100000000000001" customHeight="1">
      <c r="A46" s="5" t="s">
        <v>112</v>
      </c>
      <c r="B46" s="6" t="s">
        <v>113</v>
      </c>
      <c r="C46" s="6" t="s">
        <v>55</v>
      </c>
      <c r="D46" s="6" t="s">
        <v>114</v>
      </c>
      <c r="E46" s="7">
        <v>33</v>
      </c>
      <c r="F46" s="7">
        <v>8</v>
      </c>
      <c r="G46" s="11">
        <f>SUM(E46,F46)/2</f>
        <v>20.5</v>
      </c>
      <c r="H46" s="8">
        <v>50</v>
      </c>
      <c r="I46" s="8"/>
      <c r="J46" s="12">
        <f>(H46+I46)/2</f>
        <v>25</v>
      </c>
      <c r="K46" s="15">
        <v>9.8000000000000007</v>
      </c>
      <c r="L46" s="14">
        <f>(G46+J46)+K46</f>
        <v>55.3</v>
      </c>
      <c r="M46" s="14"/>
    </row>
    <row r="47" spans="1:13" ht="20.100000000000001" customHeight="1">
      <c r="A47" s="5" t="s">
        <v>311</v>
      </c>
      <c r="B47" s="6" t="s">
        <v>312</v>
      </c>
      <c r="C47" s="6" t="s">
        <v>313</v>
      </c>
      <c r="D47" s="6" t="s">
        <v>23</v>
      </c>
      <c r="E47" s="7">
        <v>31</v>
      </c>
      <c r="F47" s="7">
        <v>14</v>
      </c>
      <c r="G47" s="11">
        <f>SUM(E47,F47)/2</f>
        <v>22.5</v>
      </c>
      <c r="H47" s="8">
        <v>50</v>
      </c>
      <c r="I47" s="8"/>
      <c r="J47" s="12">
        <f>(H47+I47)/2</f>
        <v>25</v>
      </c>
      <c r="K47" s="15">
        <v>7.8</v>
      </c>
      <c r="L47" s="14">
        <f>(G47+J47)+K47</f>
        <v>55.3</v>
      </c>
      <c r="M47" s="14"/>
    </row>
    <row r="48" spans="1:13" ht="20.100000000000001" customHeight="1">
      <c r="A48" s="5" t="s">
        <v>152</v>
      </c>
      <c r="B48" s="6" t="s">
        <v>153</v>
      </c>
      <c r="C48" s="6" t="s">
        <v>89</v>
      </c>
      <c r="D48" s="6" t="s">
        <v>154</v>
      </c>
      <c r="E48" s="7">
        <v>26</v>
      </c>
      <c r="F48" s="7">
        <v>26</v>
      </c>
      <c r="G48" s="11">
        <f>SUM(E48,F48)/2</f>
        <v>26</v>
      </c>
      <c r="H48" s="8">
        <v>37</v>
      </c>
      <c r="I48" s="8"/>
      <c r="J48" s="12">
        <f>(H48+I48)/2</f>
        <v>18.5</v>
      </c>
      <c r="K48" s="15">
        <v>10</v>
      </c>
      <c r="L48" s="14">
        <f>(G48+J48)+K48</f>
        <v>54.5</v>
      </c>
      <c r="M48" s="14"/>
    </row>
    <row r="49" spans="1:13" ht="20.100000000000001" customHeight="1">
      <c r="A49" s="5" t="s">
        <v>190</v>
      </c>
      <c r="B49" s="6" t="s">
        <v>191</v>
      </c>
      <c r="C49" s="6" t="s">
        <v>58</v>
      </c>
      <c r="D49" s="6" t="s">
        <v>192</v>
      </c>
      <c r="E49" s="7">
        <v>50</v>
      </c>
      <c r="F49" s="7">
        <v>9</v>
      </c>
      <c r="G49" s="11">
        <f>SUM(E49,F49)/2</f>
        <v>29.5</v>
      </c>
      <c r="H49" s="8">
        <v>30</v>
      </c>
      <c r="I49" s="8"/>
      <c r="J49" s="12">
        <f>(H49+I49)/2</f>
        <v>15</v>
      </c>
      <c r="K49" s="15">
        <v>10</v>
      </c>
      <c r="L49" s="14">
        <f>(G49+J49)+K49</f>
        <v>54.5</v>
      </c>
      <c r="M49" s="14"/>
    </row>
    <row r="50" spans="1:13" ht="20.100000000000001" customHeight="1">
      <c r="A50" s="5" t="s">
        <v>108</v>
      </c>
      <c r="B50" s="6" t="s">
        <v>109</v>
      </c>
      <c r="C50" s="6" t="s">
        <v>110</v>
      </c>
      <c r="D50" s="6" t="s">
        <v>111</v>
      </c>
      <c r="E50" s="7">
        <v>30</v>
      </c>
      <c r="F50" s="7">
        <v>9</v>
      </c>
      <c r="G50" s="11">
        <f>SUM(E50,F50)/2</f>
        <v>19.5</v>
      </c>
      <c r="H50" s="8">
        <v>50</v>
      </c>
      <c r="I50" s="8"/>
      <c r="J50" s="12">
        <f>(H50+I50)/2</f>
        <v>25</v>
      </c>
      <c r="K50" s="15">
        <v>9.8000000000000007</v>
      </c>
      <c r="L50" s="14">
        <f>(G50+J50)+K50</f>
        <v>54.3</v>
      </c>
      <c r="M50" s="14"/>
    </row>
    <row r="51" spans="1:13" ht="20.100000000000001" customHeight="1">
      <c r="A51" s="5" t="s">
        <v>64</v>
      </c>
      <c r="B51" s="6" t="s">
        <v>65</v>
      </c>
      <c r="C51" s="6" t="s">
        <v>66</v>
      </c>
      <c r="D51" s="6" t="s">
        <v>67</v>
      </c>
      <c r="E51" s="7">
        <v>34</v>
      </c>
      <c r="F51" s="7">
        <v>12</v>
      </c>
      <c r="G51" s="11">
        <f>SUM(E51,F51)/2</f>
        <v>23</v>
      </c>
      <c r="H51" s="8">
        <v>43</v>
      </c>
      <c r="I51" s="8"/>
      <c r="J51" s="12">
        <f>(H51+I51)/2</f>
        <v>21.5</v>
      </c>
      <c r="K51" s="15">
        <v>9.5</v>
      </c>
      <c r="L51" s="14">
        <f>(G51+J51)+K51</f>
        <v>54</v>
      </c>
      <c r="M51" s="14"/>
    </row>
    <row r="52" spans="1:13" ht="20.100000000000001" customHeight="1">
      <c r="A52" s="5" t="s">
        <v>87</v>
      </c>
      <c r="B52" s="6" t="s">
        <v>88</v>
      </c>
      <c r="C52" s="6" t="s">
        <v>89</v>
      </c>
      <c r="D52" s="6" t="s">
        <v>90</v>
      </c>
      <c r="E52" s="7">
        <v>19</v>
      </c>
      <c r="F52" s="7">
        <v>20</v>
      </c>
      <c r="G52" s="11">
        <f>SUM(E52,F52)/2</f>
        <v>19.5</v>
      </c>
      <c r="H52" s="8">
        <v>50</v>
      </c>
      <c r="I52" s="8"/>
      <c r="J52" s="12">
        <f>(H52+I52)/2</f>
        <v>25</v>
      </c>
      <c r="K52" s="15">
        <v>9.5</v>
      </c>
      <c r="L52" s="14">
        <f>(G52+J52)+K52</f>
        <v>54</v>
      </c>
      <c r="M52" s="14"/>
    </row>
    <row r="53" spans="1:13" ht="20.100000000000001" customHeight="1">
      <c r="A53" s="5" t="s">
        <v>76</v>
      </c>
      <c r="B53" s="6" t="s">
        <v>77</v>
      </c>
      <c r="C53" s="6" t="s">
        <v>78</v>
      </c>
      <c r="D53" s="6" t="s">
        <v>79</v>
      </c>
      <c r="E53" s="7">
        <v>34</v>
      </c>
      <c r="F53" s="7">
        <v>12</v>
      </c>
      <c r="G53" s="11">
        <f>SUM(E53,F53)/2</f>
        <v>23</v>
      </c>
      <c r="H53" s="8">
        <v>42</v>
      </c>
      <c r="I53" s="8"/>
      <c r="J53" s="12">
        <f>(H53+I53)/2</f>
        <v>21</v>
      </c>
      <c r="K53" s="15">
        <v>9.6</v>
      </c>
      <c r="L53" s="14">
        <f>(G53+J53)+K53</f>
        <v>53.6</v>
      </c>
      <c r="M53" s="14"/>
    </row>
    <row r="54" spans="1:13" ht="20.100000000000001" customHeight="1">
      <c r="A54" s="5" t="s">
        <v>308</v>
      </c>
      <c r="B54" s="6" t="s">
        <v>309</v>
      </c>
      <c r="C54" s="6" t="s">
        <v>96</v>
      </c>
      <c r="D54" s="6" t="s">
        <v>16</v>
      </c>
      <c r="E54" s="7">
        <v>25</v>
      </c>
      <c r="F54" s="7">
        <v>15</v>
      </c>
      <c r="G54" s="11">
        <f>SUM(E54,F54)/2</f>
        <v>20</v>
      </c>
      <c r="H54" s="8">
        <v>50</v>
      </c>
      <c r="I54" s="8"/>
      <c r="J54" s="12">
        <f>(H54+I54)/2</f>
        <v>25</v>
      </c>
      <c r="K54" s="15">
        <v>7.8</v>
      </c>
      <c r="L54" s="14">
        <f>(G54+J54)+K54</f>
        <v>52.8</v>
      </c>
      <c r="M54" s="14"/>
    </row>
    <row r="55" spans="1:13" ht="20.100000000000001" customHeight="1">
      <c r="A55" s="5" t="s">
        <v>339</v>
      </c>
      <c r="B55" s="6" t="s">
        <v>224</v>
      </c>
      <c r="C55" s="6" t="s">
        <v>263</v>
      </c>
      <c r="D55" s="6" t="s">
        <v>340</v>
      </c>
      <c r="E55" s="7">
        <v>43</v>
      </c>
      <c r="F55" s="7">
        <v>10</v>
      </c>
      <c r="G55" s="11">
        <f>SUM(E55,F55)/2</f>
        <v>26.5</v>
      </c>
      <c r="H55" s="8">
        <v>35</v>
      </c>
      <c r="I55" s="8">
        <v>0</v>
      </c>
      <c r="J55" s="12">
        <f>(H55+I55)/2</f>
        <v>17.5</v>
      </c>
      <c r="K55" s="15">
        <v>8.8000000000000007</v>
      </c>
      <c r="L55" s="14">
        <f>(G55+J55)+K55</f>
        <v>52.8</v>
      </c>
      <c r="M55" s="14"/>
    </row>
    <row r="56" spans="1:13" ht="20.100000000000001" customHeight="1">
      <c r="A56" s="5" t="s">
        <v>367</v>
      </c>
      <c r="B56" s="6" t="s">
        <v>368</v>
      </c>
      <c r="C56" s="6" t="s">
        <v>179</v>
      </c>
      <c r="D56" s="6" t="s">
        <v>96</v>
      </c>
      <c r="E56" s="7">
        <v>36</v>
      </c>
      <c r="F56" s="7">
        <v>9</v>
      </c>
      <c r="G56" s="11">
        <f>SUM(E56,F56)/2</f>
        <v>22.5</v>
      </c>
      <c r="H56" s="8">
        <v>50</v>
      </c>
      <c r="I56" s="8"/>
      <c r="J56" s="12">
        <f>(H56+I56)/2</f>
        <v>25</v>
      </c>
      <c r="K56" s="15">
        <v>5</v>
      </c>
      <c r="L56" s="14">
        <f>(G56+J56)+K56</f>
        <v>52.5</v>
      </c>
      <c r="M56" s="14"/>
    </row>
    <row r="57" spans="1:13" ht="20.100000000000001" customHeight="1">
      <c r="A57" s="5" t="s">
        <v>134</v>
      </c>
      <c r="B57" s="6" t="s">
        <v>135</v>
      </c>
      <c r="C57" s="6" t="s">
        <v>136</v>
      </c>
      <c r="D57" s="6" t="s">
        <v>137</v>
      </c>
      <c r="E57" s="7">
        <v>26</v>
      </c>
      <c r="F57" s="7">
        <v>11</v>
      </c>
      <c r="G57" s="11">
        <f>SUM(E57,F57)/2</f>
        <v>18.5</v>
      </c>
      <c r="H57" s="8">
        <v>48</v>
      </c>
      <c r="I57" s="8"/>
      <c r="J57" s="12">
        <f>(H57+I57)/2</f>
        <v>24</v>
      </c>
      <c r="K57" s="15">
        <v>9.8000000000000007</v>
      </c>
      <c r="L57" s="14">
        <f>(G57+J57)+K57</f>
        <v>52.3</v>
      </c>
      <c r="M57" s="14"/>
    </row>
    <row r="58" spans="1:13" ht="20.100000000000001" customHeight="1">
      <c r="A58" s="5" t="s">
        <v>286</v>
      </c>
      <c r="B58" s="6" t="s">
        <v>287</v>
      </c>
      <c r="C58" s="6" t="s">
        <v>78</v>
      </c>
      <c r="D58" s="6" t="s">
        <v>71</v>
      </c>
      <c r="E58" s="7">
        <v>41</v>
      </c>
      <c r="F58" s="7">
        <v>23</v>
      </c>
      <c r="G58" s="11">
        <f>SUM(E58,F58)/2</f>
        <v>32</v>
      </c>
      <c r="H58" s="8">
        <v>25</v>
      </c>
      <c r="I58" s="8"/>
      <c r="J58" s="12">
        <f>(H58+I58)/2</f>
        <v>12.5</v>
      </c>
      <c r="K58" s="15">
        <v>7.6</v>
      </c>
      <c r="L58" s="14">
        <f>(G58+J58)+K58</f>
        <v>52.1</v>
      </c>
      <c r="M58" s="14"/>
    </row>
    <row r="59" spans="1:13" ht="20.100000000000001" customHeight="1">
      <c r="A59" s="5" t="s">
        <v>21</v>
      </c>
      <c r="B59" s="6" t="s">
        <v>22</v>
      </c>
      <c r="C59" s="6" t="s">
        <v>23</v>
      </c>
      <c r="D59" s="6" t="s">
        <v>24</v>
      </c>
      <c r="E59" s="7">
        <v>26</v>
      </c>
      <c r="F59" s="7">
        <v>10</v>
      </c>
      <c r="G59" s="11">
        <f>SUM(E59,F59)/2</f>
        <v>18</v>
      </c>
      <c r="H59" s="8">
        <v>48</v>
      </c>
      <c r="I59" s="8"/>
      <c r="J59" s="12">
        <f>(H59+I59)/2</f>
        <v>24</v>
      </c>
      <c r="K59" s="15">
        <v>9.5</v>
      </c>
      <c r="L59" s="14">
        <f>(G59+J59)+K59</f>
        <v>51.5</v>
      </c>
      <c r="M59" s="14"/>
    </row>
    <row r="60" spans="1:13" ht="20.100000000000001" customHeight="1">
      <c r="A60" s="5" t="s">
        <v>183</v>
      </c>
      <c r="B60" s="6" t="s">
        <v>184</v>
      </c>
      <c r="C60" s="6" t="s">
        <v>30</v>
      </c>
      <c r="D60" s="6" t="s">
        <v>174</v>
      </c>
      <c r="E60" s="7">
        <v>27</v>
      </c>
      <c r="F60" s="7">
        <v>36</v>
      </c>
      <c r="G60" s="11">
        <f>SUM(E60,F60)/2</f>
        <v>31.5</v>
      </c>
      <c r="H60" s="8">
        <v>26</v>
      </c>
      <c r="I60" s="8"/>
      <c r="J60" s="12">
        <f>(H60+I60)/2</f>
        <v>13</v>
      </c>
      <c r="K60" s="15">
        <v>7</v>
      </c>
      <c r="L60" s="14">
        <f>(G60+J60)+K60</f>
        <v>51.5</v>
      </c>
      <c r="M60" s="14"/>
    </row>
    <row r="61" spans="1:13" ht="20.100000000000001" customHeight="1">
      <c r="A61" s="5" t="s">
        <v>227</v>
      </c>
      <c r="B61" s="6" t="s">
        <v>228</v>
      </c>
      <c r="C61" s="6" t="s">
        <v>229</v>
      </c>
      <c r="D61" s="6" t="s">
        <v>230</v>
      </c>
      <c r="E61" s="7">
        <v>36</v>
      </c>
      <c r="F61" s="7">
        <v>22</v>
      </c>
      <c r="G61" s="11">
        <f>SUM(E61,F61)/2</f>
        <v>29</v>
      </c>
      <c r="H61" s="8">
        <v>25</v>
      </c>
      <c r="I61" s="8"/>
      <c r="J61" s="12">
        <f>(H61+I61)/2</f>
        <v>12.5</v>
      </c>
      <c r="K61" s="15">
        <v>9.8000000000000007</v>
      </c>
      <c r="L61" s="14">
        <f>(G61+J61)+K61</f>
        <v>51.3</v>
      </c>
      <c r="M61" s="14"/>
    </row>
    <row r="62" spans="1:13" ht="20.100000000000001" customHeight="1">
      <c r="A62" s="5" t="s">
        <v>333</v>
      </c>
      <c r="B62" s="6" t="s">
        <v>334</v>
      </c>
      <c r="C62" s="6" t="s">
        <v>335</v>
      </c>
      <c r="D62" s="6" t="s">
        <v>114</v>
      </c>
      <c r="E62" s="7">
        <v>29</v>
      </c>
      <c r="F62" s="7">
        <v>9</v>
      </c>
      <c r="G62" s="11">
        <f>SUM(E62,F62)/2</f>
        <v>19</v>
      </c>
      <c r="H62" s="8">
        <v>50</v>
      </c>
      <c r="I62" s="8"/>
      <c r="J62" s="12">
        <f>(H62+I62)/2</f>
        <v>25</v>
      </c>
      <c r="K62" s="15">
        <v>7</v>
      </c>
      <c r="L62" s="14">
        <f>(G62+J62)+K62</f>
        <v>51</v>
      </c>
      <c r="M62" s="14"/>
    </row>
    <row r="63" spans="1:13" ht="20.100000000000001" customHeight="1">
      <c r="A63" s="5" t="s">
        <v>274</v>
      </c>
      <c r="B63" s="6" t="s">
        <v>275</v>
      </c>
      <c r="C63" s="6" t="s">
        <v>144</v>
      </c>
      <c r="D63" s="6" t="s">
        <v>71</v>
      </c>
      <c r="E63" s="7">
        <v>36</v>
      </c>
      <c r="F63" s="7">
        <v>6</v>
      </c>
      <c r="G63" s="11">
        <f>SUM(E63,F63)/2</f>
        <v>21</v>
      </c>
      <c r="H63" s="8">
        <v>44</v>
      </c>
      <c r="I63" s="8"/>
      <c r="J63" s="12">
        <f>(H63+I63)/2</f>
        <v>22</v>
      </c>
      <c r="K63" s="15">
        <v>7.8</v>
      </c>
      <c r="L63" s="14">
        <f>(G63+J63)+K63</f>
        <v>50.8</v>
      </c>
      <c r="M63" s="14"/>
    </row>
    <row r="64" spans="1:13" ht="20.100000000000001" customHeight="1">
      <c r="A64" s="5" t="s">
        <v>56</v>
      </c>
      <c r="B64" s="6" t="s">
        <v>57</v>
      </c>
      <c r="C64" s="6" t="s">
        <v>58</v>
      </c>
      <c r="D64" s="6" t="s">
        <v>59</v>
      </c>
      <c r="E64" s="7">
        <v>34</v>
      </c>
      <c r="F64" s="7">
        <v>10</v>
      </c>
      <c r="G64" s="11">
        <f>SUM(E64,F64)/2</f>
        <v>22</v>
      </c>
      <c r="H64" s="8">
        <v>39.5</v>
      </c>
      <c r="I64" s="8"/>
      <c r="J64" s="12">
        <f>(H64+I64)/2</f>
        <v>19.75</v>
      </c>
      <c r="K64" s="15">
        <v>8</v>
      </c>
      <c r="L64" s="14">
        <f>(G64+J64)+K64</f>
        <v>49.75</v>
      </c>
      <c r="M64" s="14"/>
    </row>
    <row r="65" spans="1:13" ht="20.100000000000001" customHeight="1">
      <c r="A65" s="5" t="s">
        <v>44</v>
      </c>
      <c r="B65" s="6" t="s">
        <v>45</v>
      </c>
      <c r="C65" s="6" t="s">
        <v>46</v>
      </c>
      <c r="D65" s="6" t="s">
        <v>47</v>
      </c>
      <c r="E65" s="7">
        <v>42</v>
      </c>
      <c r="F65" s="7">
        <v>8</v>
      </c>
      <c r="G65" s="11">
        <f>SUM(E65,F65)/2</f>
        <v>25</v>
      </c>
      <c r="H65" s="8">
        <v>49</v>
      </c>
      <c r="I65" s="8"/>
      <c r="J65" s="12">
        <f>(H65+I65)/2</f>
        <v>24.5</v>
      </c>
      <c r="K65" s="15">
        <v>0</v>
      </c>
      <c r="L65" s="14">
        <f>(G65+J65)+K65</f>
        <v>49.5</v>
      </c>
      <c r="M65" s="14"/>
    </row>
    <row r="66" spans="1:13" ht="20.100000000000001" customHeight="1">
      <c r="A66" s="5" t="s">
        <v>155</v>
      </c>
      <c r="B66" s="6" t="s">
        <v>156</v>
      </c>
      <c r="C66" s="6" t="s">
        <v>157</v>
      </c>
      <c r="D66" s="6" t="s">
        <v>158</v>
      </c>
      <c r="E66" s="7">
        <v>38</v>
      </c>
      <c r="F66" s="7">
        <v>0</v>
      </c>
      <c r="G66" s="11">
        <f>SUM(E66,F66)/2</f>
        <v>19</v>
      </c>
      <c r="H66" s="8">
        <v>42.5</v>
      </c>
      <c r="I66" s="8"/>
      <c r="J66" s="12">
        <f>(H66+I66)/2</f>
        <v>21.25</v>
      </c>
      <c r="K66" s="15">
        <v>9</v>
      </c>
      <c r="L66" s="14">
        <f>(G66+J66)+K66</f>
        <v>49.25</v>
      </c>
      <c r="M66" s="14"/>
    </row>
    <row r="67" spans="1:13" ht="20.100000000000001" customHeight="1">
      <c r="A67" s="5" t="s">
        <v>288</v>
      </c>
      <c r="B67" s="6" t="s">
        <v>289</v>
      </c>
      <c r="C67" s="6" t="s">
        <v>133</v>
      </c>
      <c r="D67" s="6" t="s">
        <v>225</v>
      </c>
      <c r="E67" s="7">
        <v>38</v>
      </c>
      <c r="F67" s="7">
        <v>9</v>
      </c>
      <c r="G67" s="11">
        <f>SUM(E67,F67)/2</f>
        <v>23.5</v>
      </c>
      <c r="H67" s="8">
        <v>31</v>
      </c>
      <c r="I67" s="8"/>
      <c r="J67" s="12">
        <f>(H67+I67)/2</f>
        <v>15.5</v>
      </c>
      <c r="K67" s="15">
        <v>10</v>
      </c>
      <c r="L67" s="14">
        <f>(G67+J67)+K67</f>
        <v>49</v>
      </c>
      <c r="M67" s="14"/>
    </row>
    <row r="68" spans="1:13" ht="20.100000000000001" customHeight="1">
      <c r="A68" s="5" t="s">
        <v>369</v>
      </c>
      <c r="B68" s="6" t="s">
        <v>370</v>
      </c>
      <c r="C68" s="6" t="s">
        <v>371</v>
      </c>
      <c r="D68" s="6" t="s">
        <v>372</v>
      </c>
      <c r="E68" s="7">
        <v>24</v>
      </c>
      <c r="F68" s="7">
        <v>12</v>
      </c>
      <c r="G68" s="11">
        <f>SUM(E68,F68)/2</f>
        <v>18</v>
      </c>
      <c r="H68" s="8">
        <v>47</v>
      </c>
      <c r="I68" s="8"/>
      <c r="J68" s="12">
        <f>(H68+I68)/2</f>
        <v>23.5</v>
      </c>
      <c r="K68" s="15">
        <v>6.8</v>
      </c>
      <c r="L68" s="14">
        <f>(G68+J68)+K68</f>
        <v>48.3</v>
      </c>
      <c r="M68" s="14"/>
    </row>
    <row r="69" spans="1:13" ht="20.100000000000001" customHeight="1">
      <c r="A69" s="5" t="s">
        <v>220</v>
      </c>
      <c r="B69" s="6" t="s">
        <v>221</v>
      </c>
      <c r="C69" s="6" t="s">
        <v>222</v>
      </c>
      <c r="D69" s="6" t="s">
        <v>90</v>
      </c>
      <c r="E69" s="7">
        <v>30</v>
      </c>
      <c r="F69" s="7">
        <v>23</v>
      </c>
      <c r="G69" s="11">
        <f>SUM(E69,F69)/2</f>
        <v>26.5</v>
      </c>
      <c r="H69" s="8">
        <v>22</v>
      </c>
      <c r="I69" s="8"/>
      <c r="J69" s="12">
        <f>(H69+I69)/2</f>
        <v>11</v>
      </c>
      <c r="K69" s="15">
        <v>10</v>
      </c>
      <c r="L69" s="14">
        <f>(G69+J69)+K69</f>
        <v>47.5</v>
      </c>
      <c r="M69" s="14"/>
    </row>
    <row r="70" spans="1:13" ht="20.100000000000001" customHeight="1">
      <c r="A70" s="5" t="s">
        <v>138</v>
      </c>
      <c r="B70" s="6" t="s">
        <v>139</v>
      </c>
      <c r="C70" s="6" t="s">
        <v>140</v>
      </c>
      <c r="D70" s="6" t="s">
        <v>141</v>
      </c>
      <c r="E70" s="7">
        <v>38</v>
      </c>
      <c r="F70" s="7">
        <v>12</v>
      </c>
      <c r="G70" s="11">
        <f>SUM(E70,F70)/2</f>
        <v>25</v>
      </c>
      <c r="H70" s="8">
        <v>44</v>
      </c>
      <c r="I70" s="8">
        <v>0</v>
      </c>
      <c r="J70" s="12">
        <f>(H70+I70)/2</f>
        <v>22</v>
      </c>
      <c r="K70" s="15">
        <v>0</v>
      </c>
      <c r="L70" s="14">
        <f>(G70+J70)+K70</f>
        <v>47</v>
      </c>
      <c r="M70" s="14"/>
    </row>
    <row r="71" spans="1:13" ht="20.100000000000001" customHeight="1">
      <c r="A71" s="5" t="s">
        <v>188</v>
      </c>
      <c r="B71" s="6" t="s">
        <v>189</v>
      </c>
      <c r="C71" s="6" t="s">
        <v>82</v>
      </c>
      <c r="D71" s="6" t="s">
        <v>158</v>
      </c>
      <c r="E71" s="7">
        <v>30</v>
      </c>
      <c r="F71" s="7">
        <v>4</v>
      </c>
      <c r="G71" s="11">
        <f>SUM(E71,F71)/2</f>
        <v>17</v>
      </c>
      <c r="H71" s="8">
        <v>40</v>
      </c>
      <c r="I71" s="8"/>
      <c r="J71" s="12">
        <f>(H71+I71)/2</f>
        <v>20</v>
      </c>
      <c r="K71" s="15">
        <v>9.6</v>
      </c>
      <c r="L71" s="14">
        <f>(G71+J71)+K71</f>
        <v>46.6</v>
      </c>
      <c r="M71" s="14"/>
    </row>
    <row r="72" spans="1:13" ht="20.100000000000001" customHeight="1">
      <c r="A72" s="5" t="s">
        <v>360</v>
      </c>
      <c r="B72" s="6" t="s">
        <v>361</v>
      </c>
      <c r="C72" s="6" t="s">
        <v>362</v>
      </c>
      <c r="D72" s="6" t="s">
        <v>363</v>
      </c>
      <c r="E72" s="7">
        <v>29</v>
      </c>
      <c r="F72" s="7">
        <v>11</v>
      </c>
      <c r="G72" s="11">
        <f>SUM(E72,F72)/2</f>
        <v>20</v>
      </c>
      <c r="H72" s="8">
        <v>38</v>
      </c>
      <c r="I72" s="8"/>
      <c r="J72" s="12">
        <f>(H72+I72)/2</f>
        <v>19</v>
      </c>
      <c r="K72" s="15">
        <v>6</v>
      </c>
      <c r="L72" s="14">
        <f>(G72+J72)+K72</f>
        <v>45</v>
      </c>
      <c r="M72" s="14"/>
    </row>
    <row r="73" spans="1:13" ht="20.100000000000001" customHeight="1">
      <c r="A73" s="5" t="s">
        <v>168</v>
      </c>
      <c r="B73" s="6" t="s">
        <v>169</v>
      </c>
      <c r="C73" s="6" t="s">
        <v>79</v>
      </c>
      <c r="D73" s="6" t="s">
        <v>170</v>
      </c>
      <c r="E73" s="7">
        <v>39</v>
      </c>
      <c r="F73" s="7">
        <v>13</v>
      </c>
      <c r="G73" s="11">
        <f>SUM(E73,F73)/2</f>
        <v>26</v>
      </c>
      <c r="H73" s="8">
        <v>19</v>
      </c>
      <c r="I73" s="8"/>
      <c r="J73" s="12">
        <f>(H73+I73)/2</f>
        <v>9.5</v>
      </c>
      <c r="K73" s="15">
        <v>8</v>
      </c>
      <c r="L73" s="14">
        <f>(G73+J73)+K73</f>
        <v>43.5</v>
      </c>
      <c r="M73" s="14"/>
    </row>
    <row r="74" spans="1:13" ht="20.100000000000001" customHeight="1">
      <c r="A74" s="5" t="s">
        <v>347</v>
      </c>
      <c r="B74" s="6" t="s">
        <v>348</v>
      </c>
      <c r="C74" s="6" t="s">
        <v>82</v>
      </c>
      <c r="D74" s="6" t="s">
        <v>349</v>
      </c>
      <c r="E74" s="7">
        <v>32</v>
      </c>
      <c r="F74" s="7">
        <v>14</v>
      </c>
      <c r="G74" s="11">
        <f>SUM(E74,F74)/2</f>
        <v>23</v>
      </c>
      <c r="H74" s="8">
        <v>25</v>
      </c>
      <c r="I74" s="8"/>
      <c r="J74" s="12">
        <f>(H74+I74)/2</f>
        <v>12.5</v>
      </c>
      <c r="K74" s="15">
        <v>6.3</v>
      </c>
      <c r="L74" s="14">
        <f>(G74+J74)+K74</f>
        <v>41.8</v>
      </c>
      <c r="M74" s="14"/>
    </row>
    <row r="75" spans="1:13" ht="20.100000000000001" customHeight="1">
      <c r="A75" s="5" t="s">
        <v>72</v>
      </c>
      <c r="B75" s="6" t="s">
        <v>73</v>
      </c>
      <c r="C75" s="6" t="s">
        <v>74</v>
      </c>
      <c r="D75" s="6" t="s">
        <v>75</v>
      </c>
      <c r="E75" s="7">
        <v>28</v>
      </c>
      <c r="F75" s="7">
        <v>9</v>
      </c>
      <c r="G75" s="11">
        <f>SUM(E75,F75)/2</f>
        <v>18.5</v>
      </c>
      <c r="H75" s="8">
        <v>46</v>
      </c>
      <c r="I75" s="8"/>
      <c r="J75" s="12">
        <f>(H75+I75)/2</f>
        <v>23</v>
      </c>
      <c r="K75" s="15">
        <v>0</v>
      </c>
      <c r="L75" s="14">
        <f>(G75+J75)+K75</f>
        <v>41.5</v>
      </c>
      <c r="M75" s="14"/>
    </row>
    <row r="76" spans="1:13" ht="20.100000000000001" customHeight="1">
      <c r="A76" s="5" t="s">
        <v>344</v>
      </c>
      <c r="B76" s="6" t="s">
        <v>345</v>
      </c>
      <c r="C76" s="6" t="s">
        <v>346</v>
      </c>
      <c r="D76" s="6" t="s">
        <v>130</v>
      </c>
      <c r="E76" s="7">
        <v>15</v>
      </c>
      <c r="F76" s="7">
        <v>0</v>
      </c>
      <c r="G76" s="11">
        <f>SUM(E76,F76)/2</f>
        <v>7.5</v>
      </c>
      <c r="H76" s="8">
        <v>48</v>
      </c>
      <c r="I76" s="8"/>
      <c r="J76" s="12">
        <f>(H76+I76)/2</f>
        <v>24</v>
      </c>
      <c r="K76" s="15">
        <v>8.5</v>
      </c>
      <c r="L76" s="14">
        <f>(G76+J76)+K76</f>
        <v>40</v>
      </c>
      <c r="M76" s="14"/>
    </row>
    <row r="77" spans="1:13" ht="20.100000000000001" customHeight="1">
      <c r="A77" s="5" t="s">
        <v>323</v>
      </c>
      <c r="B77" s="6" t="s">
        <v>135</v>
      </c>
      <c r="C77" s="6" t="s">
        <v>222</v>
      </c>
      <c r="D77" s="6" t="s">
        <v>324</v>
      </c>
      <c r="E77" s="7">
        <v>34</v>
      </c>
      <c r="F77" s="7">
        <v>15</v>
      </c>
      <c r="G77" s="11">
        <f>SUM(E77,F77)/2</f>
        <v>24.5</v>
      </c>
      <c r="H77" s="8">
        <v>25</v>
      </c>
      <c r="I77" s="8"/>
      <c r="J77" s="12">
        <f>(H77+I77)/2</f>
        <v>12.5</v>
      </c>
      <c r="K77" s="15">
        <v>2.8</v>
      </c>
      <c r="L77" s="14">
        <f>(G77+J77)+K77</f>
        <v>39.799999999999997</v>
      </c>
      <c r="M77" s="14"/>
    </row>
    <row r="78" spans="1:13" ht="20.100000000000001" customHeight="1">
      <c r="A78" s="5" t="s">
        <v>115</v>
      </c>
      <c r="B78" s="6" t="s">
        <v>116</v>
      </c>
      <c r="C78" s="6" t="s">
        <v>117</v>
      </c>
      <c r="D78" s="6" t="s">
        <v>118</v>
      </c>
      <c r="E78" s="7">
        <v>32</v>
      </c>
      <c r="F78" s="7">
        <v>12</v>
      </c>
      <c r="G78" s="11">
        <f>SUM(E78,F78)/2</f>
        <v>22</v>
      </c>
      <c r="H78" s="8">
        <v>26</v>
      </c>
      <c r="I78" s="8"/>
      <c r="J78" s="12">
        <f>(H78+I78)/2</f>
        <v>13</v>
      </c>
      <c r="K78" s="15">
        <v>3.8</v>
      </c>
      <c r="L78" s="14">
        <f>(G78+J78)+K78</f>
        <v>38.799999999999997</v>
      </c>
      <c r="M78" s="14"/>
    </row>
    <row r="79" spans="1:13" ht="20.100000000000001" customHeight="1">
      <c r="A79" s="5" t="s">
        <v>119</v>
      </c>
      <c r="B79" s="6" t="s">
        <v>41</v>
      </c>
      <c r="C79" s="6" t="s">
        <v>66</v>
      </c>
      <c r="D79" s="6" t="s">
        <v>120</v>
      </c>
      <c r="E79" s="7">
        <v>27</v>
      </c>
      <c r="F79" s="7">
        <v>8</v>
      </c>
      <c r="G79" s="11">
        <f>SUM(E79,F79)/2</f>
        <v>17.5</v>
      </c>
      <c r="H79" s="8">
        <v>38</v>
      </c>
      <c r="I79" s="8"/>
      <c r="J79" s="12">
        <f>(H79+I79)/2</f>
        <v>19</v>
      </c>
      <c r="K79" s="15">
        <v>0</v>
      </c>
      <c r="L79" s="14">
        <f>(G79+J79)+K79</f>
        <v>36.5</v>
      </c>
      <c r="M79" s="14"/>
    </row>
    <row r="80" spans="1:13" ht="20.100000000000001" customHeight="1">
      <c r="A80" s="5" t="s">
        <v>238</v>
      </c>
      <c r="B80" s="6" t="s">
        <v>239</v>
      </c>
      <c r="C80" s="6" t="s">
        <v>240</v>
      </c>
      <c r="D80" s="6" t="s">
        <v>241</v>
      </c>
      <c r="E80" s="7">
        <v>50</v>
      </c>
      <c r="F80" s="7">
        <v>10</v>
      </c>
      <c r="G80" s="11">
        <f>SUM(E80,F80)/2</f>
        <v>30</v>
      </c>
      <c r="H80" s="8">
        <v>0</v>
      </c>
      <c r="I80" s="8">
        <v>0</v>
      </c>
      <c r="J80" s="12">
        <f>(H80+I80)/2</f>
        <v>0</v>
      </c>
      <c r="K80" s="15">
        <v>3.8</v>
      </c>
      <c r="L80" s="14">
        <f>(G80+J80)+K80</f>
        <v>33.799999999999997</v>
      </c>
      <c r="M80" s="14"/>
    </row>
    <row r="81" spans="1:13" ht="20.100000000000001" customHeight="1">
      <c r="A81" s="5" t="s">
        <v>142</v>
      </c>
      <c r="B81" s="6" t="s">
        <v>143</v>
      </c>
      <c r="C81" s="6" t="s">
        <v>144</v>
      </c>
      <c r="D81" s="6" t="s">
        <v>16</v>
      </c>
      <c r="E81" s="7">
        <v>40</v>
      </c>
      <c r="F81" s="7">
        <v>11</v>
      </c>
      <c r="G81" s="11">
        <f>SUM(E81,F81)/2</f>
        <v>25.5</v>
      </c>
      <c r="H81" s="8">
        <v>0</v>
      </c>
      <c r="I81" s="8">
        <v>0</v>
      </c>
      <c r="J81" s="12">
        <f>(H81+I81)/2</f>
        <v>0</v>
      </c>
      <c r="K81" s="15">
        <v>7.5</v>
      </c>
      <c r="L81" s="14">
        <f>(G81+J81)+K81</f>
        <v>33</v>
      </c>
      <c r="M81" s="14"/>
    </row>
    <row r="82" spans="1:13" ht="20.100000000000001" customHeight="1">
      <c r="A82" s="5" t="s">
        <v>336</v>
      </c>
      <c r="B82" s="6" t="s">
        <v>337</v>
      </c>
      <c r="C82" s="6" t="s">
        <v>204</v>
      </c>
      <c r="D82" s="6" t="s">
        <v>338</v>
      </c>
      <c r="E82" s="7">
        <v>26</v>
      </c>
      <c r="F82" s="7">
        <v>17</v>
      </c>
      <c r="G82" s="11">
        <f>SUM(E82,F82)/2</f>
        <v>21.5</v>
      </c>
      <c r="H82" s="8">
        <v>13</v>
      </c>
      <c r="I82" s="8"/>
      <c r="J82" s="12">
        <f>(H82+I82)/2</f>
        <v>6.5</v>
      </c>
      <c r="K82" s="15">
        <v>4</v>
      </c>
      <c r="L82" s="14">
        <f>(G82+J82)+K82</f>
        <v>32</v>
      </c>
      <c r="M82" s="14"/>
    </row>
    <row r="83" spans="1:13" ht="20.100000000000001" customHeight="1">
      <c r="A83" s="5" t="s">
        <v>231</v>
      </c>
      <c r="B83" s="6" t="s">
        <v>232</v>
      </c>
      <c r="C83" s="6" t="s">
        <v>96</v>
      </c>
      <c r="D83" s="6" t="s">
        <v>233</v>
      </c>
      <c r="E83" s="7">
        <v>42</v>
      </c>
      <c r="F83" s="7">
        <v>10</v>
      </c>
      <c r="G83" s="11">
        <f>SUM(E83,F83)/2</f>
        <v>26</v>
      </c>
      <c r="H83" s="8">
        <v>0</v>
      </c>
      <c r="I83" s="8">
        <v>0</v>
      </c>
      <c r="J83" s="12">
        <f>(H83+I83)/2</f>
        <v>0</v>
      </c>
      <c r="K83" s="15">
        <v>5</v>
      </c>
      <c r="L83" s="14">
        <f>(G83+J83)+K83</f>
        <v>31</v>
      </c>
      <c r="M83" s="14"/>
    </row>
    <row r="84" spans="1:13" ht="20.100000000000001" customHeight="1">
      <c r="A84" s="5" t="s">
        <v>128</v>
      </c>
      <c r="B84" s="6" t="s">
        <v>129</v>
      </c>
      <c r="C84" s="6" t="s">
        <v>130</v>
      </c>
      <c r="D84" s="6" t="s">
        <v>16</v>
      </c>
      <c r="E84" s="7">
        <v>36</v>
      </c>
      <c r="F84" s="7">
        <v>11</v>
      </c>
      <c r="G84" s="11">
        <f>SUM(E84,F84)/2</f>
        <v>23.5</v>
      </c>
      <c r="H84" s="8">
        <v>0</v>
      </c>
      <c r="I84" s="8">
        <v>0</v>
      </c>
      <c r="J84" s="12">
        <f>(H84+I84)/2</f>
        <v>0</v>
      </c>
      <c r="K84" s="15">
        <v>7.3</v>
      </c>
      <c r="L84" s="14">
        <f>(G84+J84)+K84</f>
        <v>30.8</v>
      </c>
      <c r="M84" s="14"/>
    </row>
    <row r="85" spans="1:13" ht="20.100000000000001" customHeight="1">
      <c r="A85" s="5" t="s">
        <v>246</v>
      </c>
      <c r="B85" s="6" t="s">
        <v>247</v>
      </c>
      <c r="C85" s="6" t="s">
        <v>15</v>
      </c>
      <c r="D85" s="6" t="s">
        <v>127</v>
      </c>
      <c r="E85" s="7">
        <v>38</v>
      </c>
      <c r="F85" s="7">
        <v>9</v>
      </c>
      <c r="G85" s="11">
        <f>SUM(E85,F85)/2</f>
        <v>23.5</v>
      </c>
      <c r="H85" s="8">
        <v>0</v>
      </c>
      <c r="I85" s="8">
        <v>0</v>
      </c>
      <c r="J85" s="12">
        <f>(H85+I85)/2</f>
        <v>0</v>
      </c>
      <c r="K85" s="15">
        <v>7.3</v>
      </c>
      <c r="L85" s="14">
        <f>(G85+J85)+K85</f>
        <v>30.8</v>
      </c>
      <c r="M85" s="14"/>
    </row>
    <row r="86" spans="1:13" ht="20.100000000000001" customHeight="1">
      <c r="A86" s="5" t="s">
        <v>272</v>
      </c>
      <c r="B86" s="6" t="s">
        <v>273</v>
      </c>
      <c r="C86" s="6" t="s">
        <v>12</v>
      </c>
      <c r="D86" s="6" t="s">
        <v>107</v>
      </c>
      <c r="E86" s="7">
        <v>33</v>
      </c>
      <c r="F86" s="7">
        <v>11</v>
      </c>
      <c r="G86" s="11">
        <f>SUM(E86,F86)/2</f>
        <v>22</v>
      </c>
      <c r="H86" s="8">
        <v>0</v>
      </c>
      <c r="I86" s="8">
        <v>0</v>
      </c>
      <c r="J86" s="12">
        <f>(H86+I86)/2</f>
        <v>0</v>
      </c>
      <c r="K86" s="15">
        <v>8</v>
      </c>
      <c r="L86" s="14">
        <f>(G86+J86)+K86</f>
        <v>30</v>
      </c>
      <c r="M86" s="14"/>
    </row>
    <row r="87" spans="1:13" ht="20.100000000000001" customHeight="1">
      <c r="A87" s="5" t="s">
        <v>341</v>
      </c>
      <c r="B87" s="6" t="s">
        <v>342</v>
      </c>
      <c r="C87" s="6" t="s">
        <v>229</v>
      </c>
      <c r="D87" s="6" t="s">
        <v>170</v>
      </c>
      <c r="E87" s="7">
        <v>40</v>
      </c>
      <c r="F87" s="7">
        <v>0</v>
      </c>
      <c r="G87" s="11">
        <f>SUM(E87,F87)/2</f>
        <v>20</v>
      </c>
      <c r="H87" s="8">
        <v>0</v>
      </c>
      <c r="I87" s="8">
        <v>0</v>
      </c>
      <c r="J87" s="12">
        <f>(H87+I87)/2</f>
        <v>0</v>
      </c>
      <c r="K87" s="15">
        <v>10</v>
      </c>
      <c r="L87" s="14">
        <f>(G87+J87)+K87</f>
        <v>30</v>
      </c>
      <c r="M87" s="14"/>
    </row>
    <row r="88" spans="1:13" ht="20.100000000000001" customHeight="1">
      <c r="A88" s="5" t="s">
        <v>332</v>
      </c>
      <c r="B88" s="6" t="s">
        <v>258</v>
      </c>
      <c r="C88" s="6" t="s">
        <v>11</v>
      </c>
      <c r="D88" s="6" t="s">
        <v>124</v>
      </c>
      <c r="E88" s="7">
        <v>42</v>
      </c>
      <c r="F88" s="7">
        <v>10</v>
      </c>
      <c r="G88" s="11">
        <f>SUM(E88,F88)/2</f>
        <v>26</v>
      </c>
      <c r="H88" s="8">
        <v>0</v>
      </c>
      <c r="I88" s="8">
        <v>0</v>
      </c>
      <c r="J88" s="12">
        <f>(H88+I88)/2</f>
        <v>0</v>
      </c>
      <c r="K88" s="15">
        <v>3.8</v>
      </c>
      <c r="L88" s="14">
        <f>(G88+J88)+K88</f>
        <v>29.8</v>
      </c>
      <c r="M88" s="14"/>
    </row>
    <row r="89" spans="1:13" ht="20.100000000000001" customHeight="1">
      <c r="A89" s="5" t="s">
        <v>9</v>
      </c>
      <c r="B89" s="6" t="s">
        <v>10</v>
      </c>
      <c r="C89" s="6" t="s">
        <v>11</v>
      </c>
      <c r="D89" s="6" t="s">
        <v>12</v>
      </c>
      <c r="E89" s="7">
        <v>34</v>
      </c>
      <c r="F89" s="7">
        <v>6</v>
      </c>
      <c r="G89" s="11">
        <f>SUM(E89,F89)/2</f>
        <v>20</v>
      </c>
      <c r="H89" s="8">
        <v>10</v>
      </c>
      <c r="I89" s="8"/>
      <c r="J89" s="12">
        <f>(H89+I89)/2</f>
        <v>5</v>
      </c>
      <c r="K89" s="15">
        <v>4</v>
      </c>
      <c r="L89" s="14">
        <f>(G89+J89)+K89</f>
        <v>29</v>
      </c>
      <c r="M89" s="14"/>
    </row>
    <row r="90" spans="1:13" ht="20.100000000000001" customHeight="1">
      <c r="A90" s="5" t="s">
        <v>328</v>
      </c>
      <c r="B90" s="6" t="s">
        <v>329</v>
      </c>
      <c r="C90" s="6" t="s">
        <v>330</v>
      </c>
      <c r="D90" s="6" t="s">
        <v>331</v>
      </c>
      <c r="E90" s="7">
        <v>38</v>
      </c>
      <c r="F90" s="7">
        <v>10</v>
      </c>
      <c r="G90" s="11">
        <f>SUM(E90,F90)/2</f>
        <v>24</v>
      </c>
      <c r="H90" s="8">
        <v>0</v>
      </c>
      <c r="I90" s="8">
        <v>0</v>
      </c>
      <c r="J90" s="12">
        <f>(H90+I90)/2</f>
        <v>0</v>
      </c>
      <c r="K90" s="15">
        <v>4</v>
      </c>
      <c r="L90" s="14">
        <f>(G90+J90)+K90</f>
        <v>28</v>
      </c>
      <c r="M90" s="14"/>
    </row>
    <row r="91" spans="1:13" ht="20.100000000000001" customHeight="1">
      <c r="A91" s="5" t="s">
        <v>91</v>
      </c>
      <c r="B91" s="6" t="s">
        <v>92</v>
      </c>
      <c r="C91" s="6" t="s">
        <v>20</v>
      </c>
      <c r="D91" s="6" t="s">
        <v>93</v>
      </c>
      <c r="E91" s="7">
        <v>34</v>
      </c>
      <c r="F91" s="7">
        <v>8</v>
      </c>
      <c r="G91" s="11">
        <f>SUM(E91,F91)/2</f>
        <v>21</v>
      </c>
      <c r="H91" s="8">
        <v>0</v>
      </c>
      <c r="I91" s="8">
        <v>0</v>
      </c>
      <c r="J91" s="12">
        <f>(H91+I91)/2</f>
        <v>0</v>
      </c>
      <c r="K91" s="15">
        <v>7</v>
      </c>
      <c r="L91" s="14">
        <f>(G91+J91)+K91</f>
        <v>28</v>
      </c>
      <c r="M91" s="14"/>
    </row>
    <row r="92" spans="1:13" ht="20.100000000000001" customHeight="1">
      <c r="A92" s="5" t="s">
        <v>261</v>
      </c>
      <c r="B92" s="6" t="s">
        <v>262</v>
      </c>
      <c r="C92" s="6" t="s">
        <v>263</v>
      </c>
      <c r="D92" s="6" t="s">
        <v>226</v>
      </c>
      <c r="E92" s="7">
        <v>20</v>
      </c>
      <c r="F92" s="7">
        <v>27</v>
      </c>
      <c r="G92" s="11">
        <f>SUM(E92,F92)/2</f>
        <v>23.5</v>
      </c>
      <c r="H92" s="8">
        <v>0</v>
      </c>
      <c r="I92" s="8"/>
      <c r="J92" s="12">
        <f>(H92+I92)/2</f>
        <v>0</v>
      </c>
      <c r="K92" s="15">
        <v>4</v>
      </c>
      <c r="L92" s="14">
        <f>(G92+J92)+K92</f>
        <v>27.5</v>
      </c>
      <c r="M92" s="14"/>
    </row>
    <row r="93" spans="1:13" ht="20.100000000000001" customHeight="1">
      <c r="A93" s="5" t="s">
        <v>32</v>
      </c>
      <c r="B93" s="6" t="s">
        <v>33</v>
      </c>
      <c r="C93" s="6" t="s">
        <v>34</v>
      </c>
      <c r="D93" s="6" t="s">
        <v>35</v>
      </c>
      <c r="E93" s="7">
        <v>32</v>
      </c>
      <c r="F93" s="7">
        <v>7</v>
      </c>
      <c r="G93" s="11">
        <f>SUM(E93,F93)/2</f>
        <v>19.5</v>
      </c>
      <c r="H93" s="8">
        <v>0</v>
      </c>
      <c r="I93" s="8">
        <v>0</v>
      </c>
      <c r="J93" s="12">
        <f>(H93+I93)/2</f>
        <v>0</v>
      </c>
      <c r="K93" s="15">
        <v>7.5</v>
      </c>
      <c r="L93" s="14">
        <f>(G93+J93)+K93</f>
        <v>27</v>
      </c>
      <c r="M93" s="14"/>
    </row>
    <row r="94" spans="1:13" ht="20.100000000000001" customHeight="1">
      <c r="A94" s="5" t="s">
        <v>250</v>
      </c>
      <c r="B94" s="6" t="s">
        <v>251</v>
      </c>
      <c r="C94" s="6" t="s">
        <v>252</v>
      </c>
      <c r="D94" s="6" t="s">
        <v>16</v>
      </c>
      <c r="E94" s="7">
        <v>37</v>
      </c>
      <c r="F94" s="7">
        <v>3</v>
      </c>
      <c r="G94" s="11">
        <f>SUM(E94,F94)/2</f>
        <v>20</v>
      </c>
      <c r="H94" s="8">
        <v>0</v>
      </c>
      <c r="I94" s="8">
        <v>0</v>
      </c>
      <c r="J94" s="12">
        <f>(H94+I94)/2</f>
        <v>0</v>
      </c>
      <c r="K94" s="15">
        <v>6.5</v>
      </c>
      <c r="L94" s="14">
        <f>(G94+J94)+K94</f>
        <v>26.5</v>
      </c>
      <c r="M94" s="14"/>
    </row>
    <row r="95" spans="1:13" ht="20.100000000000001" customHeight="1">
      <c r="A95" s="5" t="s">
        <v>17</v>
      </c>
      <c r="B95" s="6" t="s">
        <v>18</v>
      </c>
      <c r="C95" s="6" t="s">
        <v>19</v>
      </c>
      <c r="D95" s="6" t="s">
        <v>20</v>
      </c>
      <c r="E95" s="7">
        <v>38</v>
      </c>
      <c r="F95" s="7">
        <v>15</v>
      </c>
      <c r="G95" s="11">
        <f>SUM(E95,F95)/2</f>
        <v>26.5</v>
      </c>
      <c r="H95" s="8">
        <v>0</v>
      </c>
      <c r="I95" s="8">
        <v>0</v>
      </c>
      <c r="J95" s="12">
        <f>(H95+I95)/2</f>
        <v>0</v>
      </c>
      <c r="K95" s="15">
        <v>0</v>
      </c>
      <c r="L95" s="14">
        <f>(G95+J95)+K95</f>
        <v>26.5</v>
      </c>
      <c r="M95" s="14"/>
    </row>
    <row r="96" spans="1:13" ht="20.100000000000001" customHeight="1">
      <c r="A96" s="5" t="s">
        <v>373</v>
      </c>
      <c r="B96" s="6" t="s">
        <v>374</v>
      </c>
      <c r="C96" s="6" t="s">
        <v>375</v>
      </c>
      <c r="D96" s="6" t="s">
        <v>79</v>
      </c>
      <c r="E96" s="7">
        <v>33</v>
      </c>
      <c r="F96" s="7">
        <v>8</v>
      </c>
      <c r="G96" s="11">
        <f>SUM(E96,F96)/2</f>
        <v>20.5</v>
      </c>
      <c r="H96" s="8">
        <v>0</v>
      </c>
      <c r="I96" s="8">
        <v>0</v>
      </c>
      <c r="J96" s="12">
        <f>(H96+I96)/2</f>
        <v>0</v>
      </c>
      <c r="K96" s="15">
        <v>5.8</v>
      </c>
      <c r="L96" s="14">
        <f>(G96+J96)+K96</f>
        <v>26.3</v>
      </c>
      <c r="M96" s="14"/>
    </row>
    <row r="97" spans="1:13" ht="20.100000000000001" customHeight="1">
      <c r="A97" s="5" t="s">
        <v>353</v>
      </c>
      <c r="B97" s="6" t="s">
        <v>69</v>
      </c>
      <c r="C97" s="6" t="s">
        <v>354</v>
      </c>
      <c r="D97" s="6" t="s">
        <v>355</v>
      </c>
      <c r="E97" s="7">
        <v>25</v>
      </c>
      <c r="F97" s="7">
        <v>8</v>
      </c>
      <c r="G97" s="11">
        <f>SUM(E97,F97)/2</f>
        <v>16.5</v>
      </c>
      <c r="H97" s="8">
        <v>0</v>
      </c>
      <c r="I97" s="8">
        <v>0</v>
      </c>
      <c r="J97" s="12">
        <f>(H97+I97)/2</f>
        <v>0</v>
      </c>
      <c r="K97" s="15">
        <v>9.5</v>
      </c>
      <c r="L97" s="14">
        <f>(G97+J97)+K97</f>
        <v>26</v>
      </c>
      <c r="M97" s="14"/>
    </row>
    <row r="98" spans="1:13" ht="20.100000000000001" customHeight="1">
      <c r="A98" s="5" t="s">
        <v>314</v>
      </c>
      <c r="B98" s="6" t="s">
        <v>61</v>
      </c>
      <c r="C98" s="6" t="s">
        <v>315</v>
      </c>
      <c r="D98" s="6" t="s">
        <v>316</v>
      </c>
      <c r="E98" s="7">
        <v>26</v>
      </c>
      <c r="F98" s="7">
        <v>7</v>
      </c>
      <c r="G98" s="11">
        <f>SUM(E98,F98)/2</f>
        <v>16.5</v>
      </c>
      <c r="H98" s="8">
        <v>0</v>
      </c>
      <c r="I98" s="8"/>
      <c r="J98" s="12">
        <f>(H98+I98)/2</f>
        <v>0</v>
      </c>
      <c r="K98" s="15">
        <v>9.5</v>
      </c>
      <c r="L98" s="14">
        <f>(G98+J98)+K98</f>
        <v>26</v>
      </c>
      <c r="M98" s="14"/>
    </row>
    <row r="99" spans="1:13" ht="20.100000000000001" customHeight="1">
      <c r="A99" s="5" t="s">
        <v>264</v>
      </c>
      <c r="B99" s="6" t="s">
        <v>265</v>
      </c>
      <c r="C99" s="6" t="s">
        <v>266</v>
      </c>
      <c r="D99" s="6" t="s">
        <v>267</v>
      </c>
      <c r="E99" s="7">
        <v>30</v>
      </c>
      <c r="F99" s="7">
        <v>14</v>
      </c>
      <c r="G99" s="11">
        <f>SUM(E99,F99)/2</f>
        <v>22</v>
      </c>
      <c r="H99" s="8">
        <v>0</v>
      </c>
      <c r="I99" s="8">
        <v>0</v>
      </c>
      <c r="J99" s="12">
        <f>(H99+I99)/2</f>
        <v>0</v>
      </c>
      <c r="K99" s="15">
        <v>3.8</v>
      </c>
      <c r="L99" s="14">
        <f>(G99+J99)+K99</f>
        <v>25.8</v>
      </c>
      <c r="M99" s="14"/>
    </row>
    <row r="100" spans="1:13" ht="20.100000000000001" customHeight="1">
      <c r="A100" s="5" t="s">
        <v>303</v>
      </c>
      <c r="B100" s="6" t="s">
        <v>304</v>
      </c>
      <c r="C100" s="6" t="s">
        <v>305</v>
      </c>
      <c r="D100" s="6" t="s">
        <v>79</v>
      </c>
      <c r="E100" s="7">
        <v>32</v>
      </c>
      <c r="F100" s="7">
        <v>10</v>
      </c>
      <c r="G100" s="11">
        <f>SUM(E100,F100)/2</f>
        <v>21</v>
      </c>
      <c r="H100" s="8">
        <v>5</v>
      </c>
      <c r="I100" s="8">
        <v>0</v>
      </c>
      <c r="J100" s="12">
        <f>(H100+I100)/2</f>
        <v>2.5</v>
      </c>
      <c r="K100" s="15">
        <v>0</v>
      </c>
      <c r="L100" s="14">
        <f>(G100+J100)+K100</f>
        <v>23.5</v>
      </c>
      <c r="M100" s="14"/>
    </row>
    <row r="101" spans="1:13" ht="20.100000000000001" customHeight="1">
      <c r="A101" s="5" t="s">
        <v>163</v>
      </c>
      <c r="B101" s="6" t="s">
        <v>164</v>
      </c>
      <c r="C101" s="6" t="s">
        <v>165</v>
      </c>
      <c r="D101" s="6" t="s">
        <v>79</v>
      </c>
      <c r="E101" s="7">
        <v>16</v>
      </c>
      <c r="F101" s="7">
        <v>10</v>
      </c>
      <c r="G101" s="11">
        <f>SUM(E101,F101)/2</f>
        <v>13</v>
      </c>
      <c r="H101" s="8">
        <v>0</v>
      </c>
      <c r="I101" s="8">
        <v>0</v>
      </c>
      <c r="J101" s="12">
        <f>(H101+I101)/2</f>
        <v>0</v>
      </c>
      <c r="K101" s="15">
        <v>9.5</v>
      </c>
      <c r="L101" s="14">
        <f>(G101+J101)+K101</f>
        <v>22.5</v>
      </c>
      <c r="M101" s="14"/>
    </row>
    <row r="102" spans="1:13" ht="20.100000000000001" customHeight="1">
      <c r="A102" s="5" t="s">
        <v>306</v>
      </c>
      <c r="B102" s="6" t="s">
        <v>307</v>
      </c>
      <c r="C102" s="6" t="s">
        <v>136</v>
      </c>
      <c r="D102" s="6" t="s">
        <v>16</v>
      </c>
      <c r="E102" s="7">
        <v>33</v>
      </c>
      <c r="F102" s="7">
        <v>9</v>
      </c>
      <c r="G102" s="11">
        <f>SUM(E102,F102)/2</f>
        <v>21</v>
      </c>
      <c r="H102" s="8">
        <v>0</v>
      </c>
      <c r="I102" s="8">
        <v>0</v>
      </c>
      <c r="J102" s="12">
        <f>(H102+I102)/2</f>
        <v>0</v>
      </c>
      <c r="K102" s="15">
        <v>0</v>
      </c>
      <c r="L102" s="14">
        <f>(G102+J102)+K102</f>
        <v>21</v>
      </c>
      <c r="M102" s="14"/>
    </row>
    <row r="103" spans="1:13" ht="20.100000000000001" customHeight="1">
      <c r="A103" s="5" t="s">
        <v>185</v>
      </c>
      <c r="B103" s="6" t="s">
        <v>186</v>
      </c>
      <c r="C103" s="6" t="s">
        <v>187</v>
      </c>
      <c r="D103" s="6" t="s">
        <v>75</v>
      </c>
      <c r="E103" s="7">
        <v>18</v>
      </c>
      <c r="F103" s="7">
        <v>12</v>
      </c>
      <c r="G103" s="11">
        <f>SUM(E103,F103)/2</f>
        <v>15</v>
      </c>
      <c r="H103" s="8">
        <v>0</v>
      </c>
      <c r="I103" s="8">
        <v>0</v>
      </c>
      <c r="J103" s="12">
        <f>(H103+I103)/2</f>
        <v>0</v>
      </c>
      <c r="K103" s="15">
        <v>5.5</v>
      </c>
      <c r="L103" s="14">
        <f>(G103+J103)+K103</f>
        <v>20.5</v>
      </c>
      <c r="M103" s="14"/>
    </row>
    <row r="104" spans="1:13" ht="20.100000000000001" customHeight="1">
      <c r="A104" s="5" t="s">
        <v>321</v>
      </c>
      <c r="B104" s="6" t="s">
        <v>322</v>
      </c>
      <c r="C104" s="6" t="s">
        <v>187</v>
      </c>
      <c r="D104" s="6" t="s">
        <v>118</v>
      </c>
      <c r="E104" s="7">
        <v>10</v>
      </c>
      <c r="F104" s="7">
        <v>12</v>
      </c>
      <c r="G104" s="11">
        <f>SUM(E104,F104)/2</f>
        <v>11</v>
      </c>
      <c r="H104" s="8">
        <v>0</v>
      </c>
      <c r="I104" s="8">
        <v>0</v>
      </c>
      <c r="J104" s="12">
        <f>(H104+I104)/2</f>
        <v>0</v>
      </c>
      <c r="K104" s="15">
        <v>8</v>
      </c>
      <c r="L104" s="14">
        <f>(G104+J104)+K104</f>
        <v>19</v>
      </c>
      <c r="M104" s="14"/>
    </row>
    <row r="105" spans="1:13" ht="20.100000000000001" customHeight="1">
      <c r="A105" s="5" t="s">
        <v>25</v>
      </c>
      <c r="B105" s="6" t="s">
        <v>26</v>
      </c>
      <c r="C105" s="6" t="s">
        <v>27</v>
      </c>
      <c r="D105" s="6" t="s">
        <v>16</v>
      </c>
      <c r="E105" s="7">
        <v>30</v>
      </c>
      <c r="F105" s="7">
        <v>7</v>
      </c>
      <c r="G105" s="11">
        <f>SUM(E105,F105)/2</f>
        <v>18.5</v>
      </c>
      <c r="H105" s="8">
        <v>0</v>
      </c>
      <c r="I105" s="8">
        <v>0</v>
      </c>
      <c r="J105" s="12">
        <f>(H105+I105)/2</f>
        <v>0</v>
      </c>
      <c r="K105" s="15">
        <v>0</v>
      </c>
      <c r="L105" s="14">
        <f>(G105+J105)+K105</f>
        <v>18.5</v>
      </c>
      <c r="M105" s="14"/>
    </row>
    <row r="106" spans="1:13" ht="20.100000000000001" customHeight="1">
      <c r="A106" s="5" t="s">
        <v>84</v>
      </c>
      <c r="B106" s="6" t="s">
        <v>85</v>
      </c>
      <c r="C106" s="6" t="s">
        <v>11</v>
      </c>
      <c r="D106" s="6" t="s">
        <v>86</v>
      </c>
      <c r="E106" s="7">
        <v>16</v>
      </c>
      <c r="F106" s="7">
        <v>10</v>
      </c>
      <c r="G106" s="11">
        <f>SUM(E106,F106)/2</f>
        <v>13</v>
      </c>
      <c r="H106" s="8">
        <v>0</v>
      </c>
      <c r="I106" s="8">
        <v>0</v>
      </c>
      <c r="J106" s="12">
        <f>(H106+I106)/2</f>
        <v>0</v>
      </c>
      <c r="K106" s="15">
        <v>3.8</v>
      </c>
      <c r="L106" s="14">
        <f>(G106+J106)+K106</f>
        <v>16.8</v>
      </c>
      <c r="M106" s="14"/>
    </row>
    <row r="107" spans="1:13" ht="20.100000000000001" customHeight="1">
      <c r="A107" s="5" t="s">
        <v>80</v>
      </c>
      <c r="B107" s="6" t="s">
        <v>81</v>
      </c>
      <c r="C107" s="6" t="s">
        <v>82</v>
      </c>
      <c r="D107" s="6" t="s">
        <v>83</v>
      </c>
      <c r="E107" s="7">
        <v>12</v>
      </c>
      <c r="F107" s="7">
        <v>7</v>
      </c>
      <c r="G107" s="11">
        <f>SUM(E107,F107)/2</f>
        <v>9.5</v>
      </c>
      <c r="H107" s="8">
        <v>0</v>
      </c>
      <c r="I107" s="8">
        <v>0</v>
      </c>
      <c r="J107" s="12">
        <f>(H107+I107)/2</f>
        <v>0</v>
      </c>
      <c r="K107" s="15">
        <v>5.8</v>
      </c>
      <c r="L107" s="14">
        <f>(G107+J107)+K107</f>
        <v>15.3</v>
      </c>
      <c r="M107" s="14"/>
    </row>
    <row r="108" spans="1:13" ht="20.100000000000001" customHeight="1">
      <c r="A108" s="5" t="s">
        <v>97</v>
      </c>
      <c r="B108" s="6" t="s">
        <v>98</v>
      </c>
      <c r="C108" s="6" t="s">
        <v>99</v>
      </c>
      <c r="D108" s="6" t="s">
        <v>100</v>
      </c>
      <c r="E108" s="7">
        <v>28</v>
      </c>
      <c r="F108" s="7">
        <v>0</v>
      </c>
      <c r="G108" s="11">
        <f>SUM(E108,F108)/2</f>
        <v>14</v>
      </c>
      <c r="H108" s="8">
        <v>0</v>
      </c>
      <c r="I108" s="8">
        <v>0</v>
      </c>
      <c r="J108" s="12">
        <f>(H108+I108)/2</f>
        <v>0</v>
      </c>
      <c r="K108" s="15">
        <v>0</v>
      </c>
      <c r="L108" s="14">
        <f>(G108+J108)+K108</f>
        <v>14</v>
      </c>
      <c r="M108" s="14"/>
    </row>
    <row r="109" spans="1:13" ht="20.100000000000001" customHeight="1">
      <c r="A109" s="5" t="s">
        <v>40</v>
      </c>
      <c r="B109" s="6" t="s">
        <v>41</v>
      </c>
      <c r="C109" s="6" t="s">
        <v>42</v>
      </c>
      <c r="D109" s="6" t="s">
        <v>43</v>
      </c>
      <c r="E109" s="7">
        <v>0</v>
      </c>
      <c r="F109" s="7">
        <v>0</v>
      </c>
      <c r="G109" s="11">
        <f>SUM(E109,F109)/2</f>
        <v>0</v>
      </c>
      <c r="H109" s="8">
        <v>0</v>
      </c>
      <c r="I109" s="8">
        <v>0</v>
      </c>
      <c r="J109" s="12">
        <f>(H109+I109)/2</f>
        <v>0</v>
      </c>
      <c r="K109" s="15">
        <v>9.6</v>
      </c>
      <c r="L109" s="14">
        <f>(G109+J109)+K109</f>
        <v>9.6</v>
      </c>
      <c r="M109" s="14"/>
    </row>
    <row r="110" spans="1:13" ht="20.100000000000001" customHeight="1">
      <c r="A110" s="5" t="s">
        <v>282</v>
      </c>
      <c r="B110" s="6" t="s">
        <v>283</v>
      </c>
      <c r="C110" s="6" t="s">
        <v>284</v>
      </c>
      <c r="D110" s="6" t="s">
        <v>285</v>
      </c>
      <c r="E110" s="7">
        <v>18</v>
      </c>
      <c r="F110" s="7">
        <v>0</v>
      </c>
      <c r="G110" s="11">
        <f>SUM(E110,F110)/2</f>
        <v>9</v>
      </c>
      <c r="H110" s="8">
        <v>0</v>
      </c>
      <c r="I110" s="8">
        <v>0</v>
      </c>
      <c r="J110" s="12">
        <f>(H110+I110)/2</f>
        <v>0</v>
      </c>
      <c r="K110" s="15">
        <v>0</v>
      </c>
      <c r="L110" s="14">
        <f>(G110+J110)+K110</f>
        <v>9</v>
      </c>
      <c r="M110" s="14"/>
    </row>
    <row r="111" spans="1:13" ht="20.100000000000001" customHeight="1">
      <c r="A111" s="5" t="s">
        <v>270</v>
      </c>
      <c r="B111" s="6" t="s">
        <v>271</v>
      </c>
      <c r="C111" s="6" t="s">
        <v>11</v>
      </c>
      <c r="D111" s="6" t="s">
        <v>170</v>
      </c>
      <c r="E111" s="7">
        <v>0</v>
      </c>
      <c r="F111" s="7">
        <v>0</v>
      </c>
      <c r="G111" s="11">
        <f>SUM(E111,F111)/2</f>
        <v>0</v>
      </c>
      <c r="H111" s="8">
        <v>0</v>
      </c>
      <c r="I111" s="8">
        <v>0</v>
      </c>
      <c r="J111" s="12">
        <f>(H111+I111)/2</f>
        <v>0</v>
      </c>
      <c r="K111" s="15">
        <v>7.6</v>
      </c>
      <c r="L111" s="14">
        <f>(G111+J111)+K111</f>
        <v>7.6</v>
      </c>
      <c r="M111" s="14"/>
    </row>
    <row r="112" spans="1:13" ht="20.100000000000001" customHeight="1">
      <c r="A112" s="5" t="s">
        <v>298</v>
      </c>
      <c r="B112" s="6" t="s">
        <v>299</v>
      </c>
      <c r="C112" s="6" t="s">
        <v>300</v>
      </c>
      <c r="D112" s="6" t="s">
        <v>51</v>
      </c>
      <c r="E112" s="7">
        <v>0</v>
      </c>
      <c r="F112" s="7">
        <v>0</v>
      </c>
      <c r="G112" s="11">
        <f>SUM(E112,F112)/2</f>
        <v>0</v>
      </c>
      <c r="H112" s="8">
        <v>0</v>
      </c>
      <c r="I112" s="8">
        <v>0</v>
      </c>
      <c r="J112" s="12">
        <f>(H112+I112)/2</f>
        <v>0</v>
      </c>
      <c r="K112" s="15">
        <v>5</v>
      </c>
      <c r="L112" s="14">
        <f>(G112+J112)+K112</f>
        <v>5</v>
      </c>
      <c r="M112" s="14"/>
    </row>
    <row r="113" spans="1:13" ht="20.100000000000001" customHeight="1">
      <c r="A113" s="5" t="s">
        <v>223</v>
      </c>
      <c r="B113" s="6" t="s">
        <v>224</v>
      </c>
      <c r="C113" s="6" t="s">
        <v>225</v>
      </c>
      <c r="D113" s="6" t="s">
        <v>226</v>
      </c>
      <c r="E113" s="7">
        <v>0</v>
      </c>
      <c r="F113" s="7">
        <v>0</v>
      </c>
      <c r="G113" s="11">
        <f>SUM(E113,F113)/2</f>
        <v>0</v>
      </c>
      <c r="H113" s="8">
        <v>0</v>
      </c>
      <c r="I113" s="8">
        <v>0</v>
      </c>
      <c r="J113" s="12">
        <f>(H113+I113)/2</f>
        <v>0</v>
      </c>
      <c r="K113" s="15">
        <v>4</v>
      </c>
      <c r="L113" s="14">
        <f>(G113+J113)+K113</f>
        <v>4</v>
      </c>
      <c r="M113" s="14"/>
    </row>
    <row r="114" spans="1:13" ht="20.100000000000001" customHeight="1">
      <c r="A114" s="5" t="s">
        <v>36</v>
      </c>
      <c r="B114" s="6" t="s">
        <v>37</v>
      </c>
      <c r="C114" s="6" t="s">
        <v>38</v>
      </c>
      <c r="D114" s="6" t="s">
        <v>39</v>
      </c>
      <c r="E114" s="7">
        <v>0</v>
      </c>
      <c r="F114" s="7">
        <v>0</v>
      </c>
      <c r="G114" s="11">
        <f>SUM(E114,F114)/2</f>
        <v>0</v>
      </c>
      <c r="H114" s="8">
        <v>0</v>
      </c>
      <c r="I114" s="8">
        <v>0</v>
      </c>
      <c r="J114" s="12">
        <f>(H114+I114)/2</f>
        <v>0</v>
      </c>
      <c r="K114" s="15">
        <v>4</v>
      </c>
      <c r="L114" s="14">
        <f>(G114+J114)+K114</f>
        <v>4</v>
      </c>
      <c r="M114" s="14"/>
    </row>
    <row r="115" spans="1:13" ht="20.100000000000001" customHeight="1">
      <c r="A115" s="5" t="s">
        <v>28</v>
      </c>
      <c r="B115" s="6" t="s">
        <v>29</v>
      </c>
      <c r="C115" s="6" t="s">
        <v>30</v>
      </c>
      <c r="D115" s="6" t="s">
        <v>31</v>
      </c>
      <c r="E115" s="7">
        <v>0</v>
      </c>
      <c r="F115" s="7">
        <v>0</v>
      </c>
      <c r="G115" s="11">
        <f>SUM(E115,F115)/2</f>
        <v>0</v>
      </c>
      <c r="H115" s="8">
        <v>0</v>
      </c>
      <c r="I115" s="8">
        <v>0</v>
      </c>
      <c r="J115" s="12">
        <f>(H115+I115)/2</f>
        <v>0</v>
      </c>
      <c r="K115" s="15">
        <v>3.8</v>
      </c>
      <c r="L115" s="14">
        <f>(G115+J115)+K115</f>
        <v>3.8</v>
      </c>
      <c r="M115" s="14"/>
    </row>
    <row r="116" spans="1:13" ht="20.100000000000001" customHeight="1">
      <c r="A116" s="5" t="s">
        <v>382</v>
      </c>
      <c r="B116" s="6" t="s">
        <v>88</v>
      </c>
      <c r="C116" s="6" t="s">
        <v>96</v>
      </c>
      <c r="D116" s="6" t="s">
        <v>89</v>
      </c>
      <c r="E116" s="7">
        <v>0</v>
      </c>
      <c r="F116" s="7">
        <v>0</v>
      </c>
      <c r="G116" s="11">
        <f>SUM(E116,F116)/2</f>
        <v>0</v>
      </c>
      <c r="H116" s="8">
        <v>0</v>
      </c>
      <c r="I116" s="8">
        <v>0</v>
      </c>
      <c r="J116" s="12">
        <f>(H116+I116)/2</f>
        <v>0</v>
      </c>
      <c r="K116" s="15">
        <v>3.8</v>
      </c>
      <c r="L116" s="14">
        <f>(G116+J116)+K116</f>
        <v>3.8</v>
      </c>
      <c r="M116" s="14"/>
    </row>
    <row r="117" spans="1:13" ht="20.100000000000001" customHeight="1">
      <c r="A117" s="5" t="s">
        <v>101</v>
      </c>
      <c r="B117" s="6" t="s">
        <v>102</v>
      </c>
      <c r="C117" s="6" t="s">
        <v>103</v>
      </c>
      <c r="D117" s="6" t="s">
        <v>104</v>
      </c>
      <c r="E117" s="7">
        <v>0</v>
      </c>
      <c r="F117" s="7">
        <v>0</v>
      </c>
      <c r="G117" s="11">
        <f>SUM(E117,F117)/2</f>
        <v>0</v>
      </c>
      <c r="H117" s="8">
        <v>0</v>
      </c>
      <c r="I117" s="8">
        <v>0</v>
      </c>
      <c r="J117" s="12">
        <f>(H117+I117)/2</f>
        <v>0</v>
      </c>
      <c r="K117" s="15">
        <v>0</v>
      </c>
      <c r="L117" s="14">
        <f>(G117+J117)+K117</f>
        <v>0</v>
      </c>
      <c r="M117" s="14"/>
    </row>
    <row r="118" spans="1:13" ht="20.100000000000001" customHeight="1">
      <c r="A118" s="5" t="s">
        <v>276</v>
      </c>
      <c r="B118" s="6" t="s">
        <v>277</v>
      </c>
      <c r="C118" s="6" t="s">
        <v>278</v>
      </c>
      <c r="D118" s="6" t="s">
        <v>279</v>
      </c>
      <c r="E118" s="7">
        <v>0</v>
      </c>
      <c r="F118" s="7">
        <v>0</v>
      </c>
      <c r="G118" s="11">
        <f>SUM(E118,F118)/2</f>
        <v>0</v>
      </c>
      <c r="H118" s="8">
        <v>0</v>
      </c>
      <c r="I118" s="8">
        <v>0</v>
      </c>
      <c r="J118" s="12">
        <f>(H118+I118)/2</f>
        <v>0</v>
      </c>
      <c r="K118" s="15">
        <v>0</v>
      </c>
      <c r="L118" s="14">
        <f>(G118+J118)+K118</f>
        <v>0</v>
      </c>
      <c r="M118" s="14"/>
    </row>
    <row r="119" spans="1:13" ht="20.100000000000001" customHeight="1">
      <c r="A119" s="5" t="s">
        <v>166</v>
      </c>
      <c r="B119" s="6" t="s">
        <v>167</v>
      </c>
      <c r="C119" s="6" t="s">
        <v>79</v>
      </c>
      <c r="D119" s="6" t="s">
        <v>118</v>
      </c>
      <c r="E119" s="7">
        <v>0</v>
      </c>
      <c r="F119" s="7">
        <v>0</v>
      </c>
      <c r="G119" s="11">
        <f>SUM(E119,F119)/2</f>
        <v>0</v>
      </c>
      <c r="H119" s="8">
        <v>0</v>
      </c>
      <c r="I119" s="8">
        <v>0</v>
      </c>
      <c r="J119" s="12">
        <f>(H119+I119)/2</f>
        <v>0</v>
      </c>
      <c r="K119" s="15">
        <v>0</v>
      </c>
      <c r="L119" s="14">
        <f>(G119+J119)+K119</f>
        <v>0</v>
      </c>
      <c r="M119" s="14"/>
    </row>
    <row r="120" spans="1:13" ht="20.100000000000001" customHeight="1">
      <c r="A120" s="5" t="s">
        <v>48</v>
      </c>
      <c r="B120" s="6" t="s">
        <v>49</v>
      </c>
      <c r="C120" s="6" t="s">
        <v>50</v>
      </c>
      <c r="D120" s="6" t="s">
        <v>51</v>
      </c>
      <c r="E120" s="7">
        <v>0</v>
      </c>
      <c r="F120" s="7">
        <v>0</v>
      </c>
      <c r="G120" s="11">
        <f>SUM(E120,F120)/2</f>
        <v>0</v>
      </c>
      <c r="H120" s="8">
        <v>0</v>
      </c>
      <c r="I120" s="8">
        <v>0</v>
      </c>
      <c r="J120" s="12">
        <f>(H120+I120)/2</f>
        <v>0</v>
      </c>
      <c r="K120" s="15">
        <v>0</v>
      </c>
      <c r="L120" s="14">
        <f>(G120+J120)+K120</f>
        <v>0</v>
      </c>
      <c r="M120" s="14"/>
    </row>
    <row r="121" spans="1:13" ht="20.100000000000001" customHeight="1">
      <c r="A121" s="5" t="s">
        <v>379</v>
      </c>
      <c r="B121" s="6" t="s">
        <v>380</v>
      </c>
      <c r="C121" s="6" t="s">
        <v>354</v>
      </c>
      <c r="D121" s="6" t="s">
        <v>381</v>
      </c>
      <c r="E121" s="7">
        <v>0</v>
      </c>
      <c r="F121" s="7">
        <v>0</v>
      </c>
      <c r="G121" s="11">
        <f>SUM(E121,F121)/2</f>
        <v>0</v>
      </c>
      <c r="H121" s="8">
        <v>0</v>
      </c>
      <c r="I121" s="8">
        <v>0</v>
      </c>
      <c r="J121" s="12">
        <f>(H121+I121)/2</f>
        <v>0</v>
      </c>
      <c r="K121" s="15">
        <v>0</v>
      </c>
      <c r="L121" s="14">
        <f>(G121+J121)+K121</f>
        <v>0</v>
      </c>
      <c r="M121" s="14"/>
    </row>
    <row r="122" spans="1:13" ht="20.100000000000001" customHeight="1">
      <c r="A122" s="5" t="s">
        <v>259</v>
      </c>
      <c r="B122" s="6" t="s">
        <v>260</v>
      </c>
      <c r="C122" s="6" t="s">
        <v>124</v>
      </c>
      <c r="D122" s="6" t="s">
        <v>67</v>
      </c>
      <c r="E122" s="7">
        <v>0</v>
      </c>
      <c r="F122" s="7">
        <v>0</v>
      </c>
      <c r="G122" s="11">
        <f>SUM(E122,F122)/2</f>
        <v>0</v>
      </c>
      <c r="H122" s="8">
        <v>0</v>
      </c>
      <c r="I122" s="8">
        <v>0</v>
      </c>
      <c r="J122" s="12">
        <f>(H122+I122)/2</f>
        <v>0</v>
      </c>
      <c r="K122" s="15">
        <v>0</v>
      </c>
      <c r="L122" s="14">
        <f>(G122+J122)+K122</f>
        <v>0</v>
      </c>
      <c r="M122" s="14"/>
    </row>
    <row r="123" spans="1:13" ht="20.100000000000001" customHeight="1">
      <c r="A123" s="5" t="s">
        <v>121</v>
      </c>
      <c r="B123" s="6" t="s">
        <v>122</v>
      </c>
      <c r="C123" s="6" t="s">
        <v>123</v>
      </c>
      <c r="D123" s="6" t="s">
        <v>124</v>
      </c>
      <c r="E123" s="7">
        <v>0</v>
      </c>
      <c r="F123" s="7">
        <v>0</v>
      </c>
      <c r="G123" s="11">
        <f>SUM(E123,F123)/2</f>
        <v>0</v>
      </c>
      <c r="H123" s="8">
        <v>0</v>
      </c>
      <c r="I123" s="8">
        <v>0</v>
      </c>
      <c r="J123" s="12">
        <f>(H123+I123)/2</f>
        <v>0</v>
      </c>
      <c r="K123" s="15">
        <v>0</v>
      </c>
      <c r="L123" s="14">
        <f>(G123+J123)+K123</f>
        <v>0</v>
      </c>
      <c r="M123" s="14"/>
    </row>
    <row r="124" spans="1:13" ht="20.100000000000001" customHeight="1">
      <c r="A124" s="5" t="s">
        <v>131</v>
      </c>
      <c r="B124" s="6" t="s">
        <v>132</v>
      </c>
      <c r="C124" s="6" t="s">
        <v>20</v>
      </c>
      <c r="D124" s="6" t="s">
        <v>133</v>
      </c>
      <c r="E124" s="7">
        <v>0</v>
      </c>
      <c r="F124" s="7">
        <v>0</v>
      </c>
      <c r="G124" s="11">
        <f>SUM(E124,F124)/2</f>
        <v>0</v>
      </c>
      <c r="H124" s="8">
        <v>0</v>
      </c>
      <c r="I124" s="8">
        <v>0</v>
      </c>
      <c r="J124" s="12">
        <f>(H124+I124)/2</f>
        <v>0</v>
      </c>
      <c r="K124" s="15">
        <v>0</v>
      </c>
      <c r="L124" s="14">
        <f>(G124+J124)+K124</f>
        <v>0</v>
      </c>
      <c r="M124" s="14"/>
    </row>
    <row r="125" spans="1:13" ht="20.100000000000001" customHeight="1">
      <c r="A125" s="5" t="s">
        <v>280</v>
      </c>
      <c r="B125" s="6" t="s">
        <v>281</v>
      </c>
      <c r="C125" s="6" t="s">
        <v>16</v>
      </c>
      <c r="D125" s="6" t="s">
        <v>16</v>
      </c>
      <c r="E125" s="7">
        <v>0</v>
      </c>
      <c r="F125" s="7">
        <v>0</v>
      </c>
      <c r="G125" s="11">
        <f>SUM(E125,F125)/2</f>
        <v>0</v>
      </c>
      <c r="H125" s="8">
        <v>0</v>
      </c>
      <c r="I125" s="8">
        <v>0</v>
      </c>
      <c r="J125" s="12">
        <f>(H125+I125)/2</f>
        <v>0</v>
      </c>
      <c r="K125" s="15">
        <v>0</v>
      </c>
      <c r="L125" s="14">
        <f>(G125+J125)+K125</f>
        <v>0</v>
      </c>
      <c r="M125" s="14"/>
    </row>
    <row r="126" spans="1:13" ht="20.100000000000001" customHeight="1">
      <c r="A126" s="5" t="s">
        <v>217</v>
      </c>
      <c r="B126" s="6" t="s">
        <v>218</v>
      </c>
      <c r="C126" s="6" t="s">
        <v>219</v>
      </c>
      <c r="D126" s="6" t="s">
        <v>16</v>
      </c>
      <c r="E126" s="7">
        <v>0</v>
      </c>
      <c r="F126" s="7">
        <v>0</v>
      </c>
      <c r="G126" s="11">
        <f>SUM(E126,F126)/2</f>
        <v>0</v>
      </c>
      <c r="H126" s="8">
        <v>0</v>
      </c>
      <c r="I126" s="8">
        <v>0</v>
      </c>
      <c r="J126" s="12">
        <f>(H126+I126)/2</f>
        <v>0</v>
      </c>
      <c r="K126" s="15">
        <v>0</v>
      </c>
      <c r="L126" s="14">
        <f>(G126+J126)+K126</f>
        <v>0</v>
      </c>
      <c r="M126" s="14"/>
    </row>
    <row r="127" spans="1:13" ht="20.100000000000001" customHeight="1">
      <c r="A127" s="5" t="s">
        <v>242</v>
      </c>
      <c r="B127" s="6" t="s">
        <v>243</v>
      </c>
      <c r="C127" s="6" t="s">
        <v>244</v>
      </c>
      <c r="D127" s="6" t="s">
        <v>245</v>
      </c>
      <c r="E127" s="7">
        <v>0</v>
      </c>
      <c r="F127" s="7">
        <v>0</v>
      </c>
      <c r="G127" s="11">
        <f>SUM(E127,F127)/2</f>
        <v>0</v>
      </c>
      <c r="H127" s="8">
        <v>0</v>
      </c>
      <c r="I127" s="8">
        <v>0</v>
      </c>
      <c r="J127" s="12">
        <f>(H127+I127)/2</f>
        <v>0</v>
      </c>
      <c r="K127" s="15">
        <v>0</v>
      </c>
      <c r="L127" s="14">
        <f>(G127+J127)+K127</f>
        <v>0</v>
      </c>
      <c r="M127" s="14"/>
    </row>
    <row r="128" spans="1:13" ht="20.100000000000001" customHeight="1">
      <c r="A128" s="5" t="s">
        <v>211</v>
      </c>
      <c r="B128" s="6" t="s">
        <v>212</v>
      </c>
      <c r="C128" s="6" t="s">
        <v>78</v>
      </c>
      <c r="D128" s="6" t="s">
        <v>133</v>
      </c>
      <c r="E128" s="7">
        <v>0</v>
      </c>
      <c r="F128" s="7">
        <v>0</v>
      </c>
      <c r="G128" s="11">
        <f>SUM(E128,F128)/2</f>
        <v>0</v>
      </c>
      <c r="H128" s="8">
        <v>0</v>
      </c>
      <c r="I128" s="8">
        <v>0</v>
      </c>
      <c r="J128" s="12">
        <f>(H128+I128)/2</f>
        <v>0</v>
      </c>
      <c r="K128" s="15">
        <v>0</v>
      </c>
      <c r="L128" s="14">
        <f>(G128+J128)+K128</f>
        <v>0</v>
      </c>
      <c r="M128" s="14"/>
    </row>
    <row r="129" spans="1:13" ht="20.100000000000001" customHeight="1">
      <c r="A129" s="5" t="s">
        <v>52</v>
      </c>
      <c r="B129" s="6" t="s">
        <v>53</v>
      </c>
      <c r="C129" s="6" t="s">
        <v>54</v>
      </c>
      <c r="D129" s="6" t="s">
        <v>55</v>
      </c>
      <c r="E129" s="7">
        <v>0</v>
      </c>
      <c r="F129" s="7">
        <v>0</v>
      </c>
      <c r="G129" s="11">
        <f>SUM(E129,F129)/2</f>
        <v>0</v>
      </c>
      <c r="H129" s="8">
        <v>0</v>
      </c>
      <c r="I129" s="8">
        <v>0</v>
      </c>
      <c r="J129" s="12">
        <f>(H129+I129)/2</f>
        <v>0</v>
      </c>
      <c r="K129" s="15">
        <v>0</v>
      </c>
      <c r="L129" s="14">
        <f>(G129+J129)+K129</f>
        <v>0</v>
      </c>
      <c r="M129" s="14"/>
    </row>
    <row r="130" spans="1:13" ht="20.100000000000001" customHeight="1">
      <c r="A130" s="5" t="s">
        <v>172</v>
      </c>
      <c r="B130" s="6" t="s">
        <v>173</v>
      </c>
      <c r="C130" s="6" t="s">
        <v>174</v>
      </c>
      <c r="D130" s="6" t="s">
        <v>147</v>
      </c>
      <c r="E130" s="7">
        <v>0</v>
      </c>
      <c r="F130" s="7">
        <v>0</v>
      </c>
      <c r="G130" s="11">
        <f>SUM(E130,F130)/2</f>
        <v>0</v>
      </c>
      <c r="H130" s="8">
        <v>0</v>
      </c>
      <c r="I130" s="8">
        <v>0</v>
      </c>
      <c r="J130" s="12">
        <f>(H130+I130)/2</f>
        <v>0</v>
      </c>
      <c r="K130" s="15">
        <v>0</v>
      </c>
      <c r="L130" s="14">
        <f>(G130+J130)+K130</f>
        <v>0</v>
      </c>
      <c r="M130" s="14"/>
    </row>
    <row r="131" spans="1:13" ht="409.6" customHeight="1">
      <c r="A131" s="1"/>
      <c r="B131" s="1"/>
      <c r="C131" s="1"/>
      <c r="D131" s="1"/>
      <c r="E131" s="1"/>
      <c r="F131" s="1"/>
    </row>
  </sheetData>
  <sortState ref="A7:M130">
    <sortCondition descending="1" ref="L7:L130"/>
  </sortState>
  <mergeCells count="7">
    <mergeCell ref="A5:F5"/>
    <mergeCell ref="A1:F1"/>
    <mergeCell ref="A2:F2"/>
    <mergeCell ref="A3:B3"/>
    <mergeCell ref="C3:F3"/>
    <mergeCell ref="A4:B4"/>
    <mergeCell ref="C4:F4"/>
  </mergeCells>
  <pageMargins left="0" right="0" top="0" bottom="0" header="0.5" footer="0.5"/>
  <pageSetup pageOrder="overThenDown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Studenti na predmetu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ETFBL</dc:creator>
  <cp:lastModifiedBy>OsobaC</cp:lastModifiedBy>
  <cp:lastPrinted>2017-12-14T10:56:18Z</cp:lastPrinted>
  <dcterms:created xsi:type="dcterms:W3CDTF">2017-12-13T13:15:33Z</dcterms:created>
  <dcterms:modified xsi:type="dcterms:W3CDTF">2018-02-06T13:21:02Z</dcterms:modified>
</cp:coreProperties>
</file>